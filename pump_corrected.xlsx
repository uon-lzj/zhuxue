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870b02634834e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据" sheetId="1" r:id="R661a9319901c41c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.00"/>
    <x:numFmt numFmtId="202" formatCode="yyyy-mm-dd hh:mm"/>
  </x:numFmts>
  <x:fonts count="5">
    <x:font>
      <x:sz val="11"/>
      <x:name val="Carlito"/>
    </x:font>
    <x:font>
      <x:b/>
      <x:sz val="14"/>
      <x:color rgb="FFFFFFFF"/>
      <x:name val="Carlito"/>
    </x:font>
    <x:font>
      <x:sz val="11"/>
      <x:color rgb="FF17365D"/>
      <x:name val="Carlito"/>
    </x:font>
    <x:font>
      <x:b/>
      <x:sz val="11"/>
      <x:color rgb="FFFFFFFF"/>
      <x:name val="Carlito"/>
    </x:font>
    <x:font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  <x:fill>
      <x:patternFill patternType="solid">
        <x:fgColor rgb="FFFFFFFF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fc8ff80108457d" /><Relationship Type="http://schemas.openxmlformats.org/officeDocument/2006/relationships/theme" Target="/xl/theme/theme1.xml" Id="R6ee58c4196c54034" /><Relationship Type="http://schemas.openxmlformats.org/officeDocument/2006/relationships/sharedStrings" Target="/xl/sharedStrings.xml" Id="R0bfc10d74c214a4f" /><Relationship Type="http://schemas.openxmlformats.org/officeDocument/2006/relationships/worksheet" Target="/xl/worksheets/sheet1.xml" Id="R661a9319901c41c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49b17d4a2c14a4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汽蚀过程四项判别数据走势</a:t>
            </a:r>
          </a:p>
        </c:rich>
      </c:tx>
    </c:title>
    <c:plotArea>
      <c:lineChart>
        <c:grouping val="standard"/>
        <c:ser>
          <c:idx val="0"/>
          <c:order val="0"/>
          <c:tx>
            <c:v>泵功率(kW)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'数据'!$B$24:$B$39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泵电流(A)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'数据'!$C$24:$C$39</c:f>
              <c:numCache>
                <c:formatCode>0.0</c:formatCode>
                <c:ptCount val="0"/>
              </c:numCache>
            </c:numRef>
          </c:val>
        </c:ser>
        <c:ser>
          <c:idx val="2"/>
          <c:order val="2"/>
          <c:tx>
            <c:v>出口压力(MPa)*100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'数据'!$D$24:$D$39</c:f>
              <c:numCache>
                <c:formatCode>0.0</c:formatCode>
                <c:ptCount val="0"/>
              </c:numCache>
            </c:numRef>
          </c:val>
        </c:ser>
        <c:ser>
          <c:idx val="3"/>
          <c:order val="3"/>
          <c:tx>
            <c:v>出料流量(m3/h)</c:v>
          </c:tx>
          <c:marker>
            <c:symbol val="none"/>
          </c:marker>
          <c:cat>
            <c:strRef>
              <c:f>'数据'!$A$24:$A$39</c:f>
              <c:strCache>
                <c:ptCount val="0"/>
              </c:strCache>
            </c:strRef>
          </c:cat>
          <c:val>
            <c:numRef>
              <c:f>'数据'!$E$24:$E$39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1</xdr:row>
      <xdr:rowOff>0</xdr:rowOff>
    </xdr:from>
    <xdr:to>
      <xdr:col>16</xdr:col>
      <xdr:colOff>0</xdr:colOff>
      <xdr:row>21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49b17d4a2c14a4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PumpCavitationData" displayName="PumpCavitationData" ref="A4:G20" headerRowCount="1" totalsRowCount="0" totalsRowShown="0">
  <x:tableColumns count="7">
    <x:tableColumn id="1" name="采样时间"/>
    <x:tableColumn id="2" name="泵功率(kW)"/>
    <x:tableColumn id="3" name="泵电流(A)"/>
    <x:tableColumn id="4" name="出口压力(MPa)"/>
    <x:tableColumn id="5" name="出料流量(m3/h)"/>
    <x:tableColumn id="6" name="运行状态"/>
    <x:tableColumn id="7" name="说明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8782863064774270" /><Relationship Type="http://schemas.openxmlformats.org/officeDocument/2006/relationships/table" Target="/xl/tables/table1.xml" Id="R225f1095c30240a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38" hidden="0" customWidth="1"/>
  </x:cols>
  <x:sheetData>
    <x:row r="1" ht="28" customHeight="1">
      <x:c r="A1" s="4" t="str">
        <x:v>修正数据：发现严重汽蚀后立即处理并恢复</x:v>
      </x:c>
      <x:c r="B1" s="4"/>
      <x:c r="C1" s="4"/>
      <x:c r="D1" s="4"/>
      <x:c r="E1" s="4"/>
      <x:c r="F1" s="4"/>
      <x:c r="G1" s="17"/>
    </x:row>
    <x:row r="2" ht="28" customHeight="1">
      <x:c r="A2" s="8" t="str">
        <x:v>09:00-09:09 与异常数据完全一致；09:10 起采取修正措施，四项数据逐步回升并在 09:14 后恢复稳定。</x:v>
      </x:c>
      <x:c r="B2" s="8"/>
      <x:c r="C2" s="8"/>
      <x:c r="D2" s="8"/>
      <x:c r="E2" s="8"/>
      <x:c r="F2" s="8"/>
      <x:c r="G2" s="8"/>
    </x:row>
    <x:row r="4">
      <x:c r="A4" s="12" t="str">
        <x:v>采样时间</x:v>
      </x:c>
      <x:c r="B4" s="12" t="str">
        <x:v>泵功率(kW)</x:v>
      </x:c>
      <x:c r="C4" s="12" t="str">
        <x:v>泵电流(A)</x:v>
      </x:c>
      <x:c r="D4" s="12" t="str">
        <x:v>出口压力(MPa)</x:v>
      </x:c>
      <x:c r="E4" s="12" t="str">
        <x:v>出料流量(m3/h)</x:v>
      </x:c>
      <x:c r="F4" s="12" t="str">
        <x:v>运行状态</x:v>
      </x:c>
      <x:c r="G4" s="12" t="str">
        <x:v>说明</x:v>
      </x:c>
    </x:row>
    <x:row r="5">
      <x:c r="A5" s="16" t="str">
        <x:v>2026-08-05 09:00</x:v>
      </x:c>
      <x:c r="B5" s="14" t="n">
        <x:v>52</x:v>
      </x:c>
      <x:c r="C5" s="14" t="n">
        <x:v>96</x:v>
      </x:c>
      <x:c r="D5" s="15" t="n">
        <x:v>0.62</x:v>
      </x:c>
      <x:c r="E5" s="14" t="n">
        <x:v>120</x:v>
      </x:c>
      <x:c r="F5" s="13" t="str">
        <x:v>正常运行</x:v>
      </x:c>
      <x:c r="G5" s="13" t="str">
        <x:v>基准稳定工况</x:v>
      </x:c>
    </x:row>
    <x:row r="6">
      <x:c r="A6" s="16" t="str">
        <x:v>2026-08-05 09:01</x:v>
      </x:c>
      <x:c r="B6" s="14" t="n">
        <x:v>52.3</x:v>
      </x:c>
      <x:c r="C6" s="14" t="n">
        <x:v>96.5</x:v>
      </x:c>
      <x:c r="D6" s="15" t="n">
        <x:v>0.63</x:v>
      </x:c>
      <x:c r="E6" s="14" t="n">
        <x:v>121</x:v>
      </x:c>
      <x:c r="F6" s="13" t="str">
        <x:v>正常运行</x:v>
      </x:c>
      <x:c r="G6" s="13" t="str">
        <x:v>小幅正常波动</x:v>
      </x:c>
    </x:row>
    <x:row r="7">
      <x:c r="A7" s="16" t="str">
        <x:v>2026-08-05 09:02</x:v>
      </x:c>
      <x:c r="B7" s="14" t="n">
        <x:v>51.8</x:v>
      </x:c>
      <x:c r="C7" s="14" t="n">
        <x:v>95.7</x:v>
      </x:c>
      <x:c r="D7" s="15" t="n">
        <x:v>0.62</x:v>
      </x:c>
      <x:c r="E7" s="14" t="n">
        <x:v>119</x:v>
      </x:c>
      <x:c r="F7" s="13" t="str">
        <x:v>正常运行</x:v>
      </x:c>
      <x:c r="G7" s="13" t="str">
        <x:v>小幅正常波动</x:v>
      </x:c>
    </x:row>
    <x:row r="8">
      <x:c r="A8" s="16" t="str">
        <x:v>2026-08-05 09:03</x:v>
      </x:c>
      <x:c r="B8" s="14" t="n">
        <x:v>52.1</x:v>
      </x:c>
      <x:c r="C8" s="14" t="n">
        <x:v>96.2</x:v>
      </x:c>
      <x:c r="D8" s="15" t="n">
        <x:v>0.62</x:v>
      </x:c>
      <x:c r="E8" s="14" t="n">
        <x:v>120</x:v>
      </x:c>
      <x:c r="F8" s="13" t="str">
        <x:v>正常运行</x:v>
      </x:c>
      <x:c r="G8" s="13" t="str">
        <x:v>小幅正常波动</x:v>
      </x:c>
    </x:row>
    <x:row r="9">
      <x:c r="A9" s="16" t="str">
        <x:v>2026-08-05 09:04</x:v>
      </x:c>
      <x:c r="B9" s="14" t="n">
        <x:v>51.9</x:v>
      </x:c>
      <x:c r="C9" s="14" t="n">
        <x:v>95.9</x:v>
      </x:c>
      <x:c r="D9" s="15" t="n">
        <x:v>0.61</x:v>
      </x:c>
      <x:c r="E9" s="14" t="n">
        <x:v>119</x:v>
      </x:c>
      <x:c r="F9" s="13" t="str">
        <x:v>正常运行</x:v>
      </x:c>
      <x:c r="G9" s="13" t="str">
        <x:v>小幅正常波动</x:v>
      </x:c>
    </x:row>
    <x:row r="10">
      <x:c r="A10" s="16" t="str">
        <x:v>2026-08-05 09:05</x:v>
      </x:c>
      <x:c r="B10" s="14" t="n">
        <x:v>51.5</x:v>
      </x:c>
      <x:c r="C10" s="14" t="n">
        <x:v>95</x:v>
      </x:c>
      <x:c r="D10" s="15" t="n">
        <x:v>0.6</x:v>
      </x:c>
      <x:c r="E10" s="14" t="n">
        <x:v>117</x:v>
      </x:c>
      <x:c r="F10" s="13" t="str">
        <x:v>轻微异常</x:v>
      </x:c>
      <x:c r="G10" s="13" t="str">
        <x:v>汽蚀征兆开始出现</x:v>
      </x:c>
    </x:row>
    <x:row r="11">
      <x:c r="A11" s="16" t="str">
        <x:v>2026-08-05 09:06</x:v>
      </x:c>
      <x:c r="B11" s="14" t="n">
        <x:v>48.7</x:v>
      </x:c>
      <x:c r="C11" s="14" t="n">
        <x:v>90.2</x:v>
      </x:c>
      <x:c r="D11" s="15" t="n">
        <x:v>0.55</x:v>
      </x:c>
      <x:c r="E11" s="14" t="n">
        <x:v>106</x:v>
      </x:c>
      <x:c r="F11" s="13" t="str">
        <x:v>疑似汽蚀</x:v>
      </x:c>
      <x:c r="G11" s="13" t="str">
        <x:v>压力和流量开始下降</x:v>
      </x:c>
    </x:row>
    <x:row r="12">
      <x:c r="A12" s="16" t="str">
        <x:v>2026-08-05 09:07</x:v>
      </x:c>
      <x:c r="B12" s="14" t="n">
        <x:v>46.1</x:v>
      </x:c>
      <x:c r="C12" s="14" t="n">
        <x:v>85.7</x:v>
      </x:c>
      <x:c r="D12" s="15" t="n">
        <x:v>0.48</x:v>
      </x:c>
      <x:c r="E12" s="14" t="n">
        <x:v>92</x:v>
      </x:c>
      <x:c r="F12" s="13" t="str">
        <x:v>汽蚀发展</x:v>
      </x:c>
      <x:c r="G12" s="13" t="str">
        <x:v>四项数据同步下降并波动</x:v>
      </x:c>
    </x:row>
    <x:row r="13">
      <x:c r="A13" s="16" t="str">
        <x:v>2026-08-05 09:08</x:v>
      </x:c>
      <x:c r="B13" s="14" t="n">
        <x:v>44.6</x:v>
      </x:c>
      <x:c r="C13" s="14" t="n">
        <x:v>82.3</x:v>
      </x:c>
      <x:c r="D13" s="15" t="n">
        <x:v>0.43</x:v>
      </x:c>
      <x:c r="E13" s="14" t="n">
        <x:v>81</x:v>
      </x:c>
      <x:c r="F13" s="13" t="str">
        <x:v>汽蚀加重</x:v>
      </x:c>
      <x:c r="G13" s="13" t="str">
        <x:v>出口压力和出料流量下降明显</x:v>
      </x:c>
    </x:row>
    <x:row r="14">
      <x:c r="A14" s="16" t="str">
        <x:v>2026-08-05 09:09</x:v>
      </x:c>
      <x:c r="B14" s="14" t="n">
        <x:v>41.8</x:v>
      </x:c>
      <x:c r="C14" s="14" t="n">
        <x:v>76.8</x:v>
      </x:c>
      <x:c r="D14" s="15" t="n">
        <x:v>0.35</x:v>
      </x:c>
      <x:c r="E14" s="14" t="n">
        <x:v>64</x:v>
      </x:c>
      <x:c r="F14" s="13" t="str">
        <x:v>严重汽蚀</x:v>
      </x:c>
      <x:c r="G14" s="13" t="str">
        <x:v>判定为严重汽蚀，等待处理</x:v>
      </x:c>
    </x:row>
    <x:row r="15">
      <x:c r="A15" s="16" t="str">
        <x:v>2026-08-05 09:10</x:v>
      </x:c>
      <x:c r="B15" s="14" t="n">
        <x:v>43.6</x:v>
      </x:c>
      <x:c r="C15" s="14" t="n">
        <x:v>80.1</x:v>
      </x:c>
      <x:c r="D15" s="15" t="n">
        <x:v>0.42</x:v>
      </x:c>
      <x:c r="E15" s="14" t="n">
        <x:v>78</x:v>
      </x:c>
      <x:c r="F15" s="13" t="str">
        <x:v>开始修正</x:v>
      </x:c>
      <x:c r="G15" s="13" t="str">
        <x:v>发现汽蚀后立即调整入口条件并降低汽蚀影响</x:v>
      </x:c>
    </x:row>
    <x:row r="16">
      <x:c r="A16" s="16" t="str">
        <x:v>2026-08-05 09:11</x:v>
      </x:c>
      <x:c r="B16" s="14" t="n">
        <x:v>46.8</x:v>
      </x:c>
      <x:c r="C16" s="14" t="n">
        <x:v>86.2</x:v>
      </x:c>
      <x:c r="D16" s="15" t="n">
        <x:v>0.5</x:v>
      </x:c>
      <x:c r="E16" s="14" t="n">
        <x:v>96</x:v>
      </x:c>
      <x:c r="F16" s="13" t="str">
        <x:v>修正中</x:v>
      </x:c>
      <x:c r="G16" s="13" t="str">
        <x:v>压力和流量开始恢复</x:v>
      </x:c>
    </x:row>
    <x:row r="17">
      <x:c r="A17" s="16" t="str">
        <x:v>2026-08-05 09:12</x:v>
      </x:c>
      <x:c r="B17" s="14" t="n">
        <x:v>49.7</x:v>
      </x:c>
      <x:c r="C17" s="14" t="n">
        <x:v>91.5</x:v>
      </x:c>
      <x:c r="D17" s="15" t="n">
        <x:v>0.56</x:v>
      </x:c>
      <x:c r="E17" s="14" t="n">
        <x:v>110</x:v>
      </x:c>
      <x:c r="F17" s="13" t="str">
        <x:v>恢复中</x:v>
      </x:c>
      <x:c r="G17" s="13" t="str">
        <x:v>四项数据向正常区间回升</x:v>
      </x:c>
    </x:row>
    <x:row r="18">
      <x:c r="A18" s="16" t="str">
        <x:v>2026-08-05 09:13</x:v>
      </x:c>
      <x:c r="B18" s="14" t="n">
        <x:v>51</x:v>
      </x:c>
      <x:c r="C18" s="14" t="n">
        <x:v>94.3</x:v>
      </x:c>
      <x:c r="D18" s="15" t="n">
        <x:v>0.59</x:v>
      </x:c>
      <x:c r="E18" s="14" t="n">
        <x:v>116</x:v>
      </x:c>
      <x:c r="F18" s="13" t="str">
        <x:v>基本恢复</x:v>
      </x:c>
      <x:c r="G18" s="13" t="str">
        <x:v>运行状态趋于稳定</x:v>
      </x:c>
    </x:row>
    <x:row r="19">
      <x:c r="A19" s="16" t="str">
        <x:v>2026-08-05 09:14</x:v>
      </x:c>
      <x:c r="B19" s="14" t="n">
        <x:v>51.8</x:v>
      </x:c>
      <x:c r="C19" s="14" t="n">
        <x:v>95.8</x:v>
      </x:c>
      <x:c r="D19" s="15" t="n">
        <x:v>0.61</x:v>
      </x:c>
      <x:c r="E19" s="14" t="n">
        <x:v>119</x:v>
      </x:c>
      <x:c r="F19" s="13" t="str">
        <x:v>正常运行</x:v>
      </x:c>
      <x:c r="G19" s="13" t="str">
        <x:v>恢复至接近基准工况</x:v>
      </x:c>
    </x:row>
    <x:row r="20">
      <x:c r="A20" s="16" t="str">
        <x:v>2026-08-05 09:15</x:v>
      </x:c>
      <x:c r="B20" s="14" t="n">
        <x:v>52.1</x:v>
      </x:c>
      <x:c r="C20" s="14" t="n">
        <x:v>96.1</x:v>
      </x:c>
      <x:c r="D20" s="15" t="n">
        <x:v>0.62</x:v>
      </x:c>
      <x:c r="E20" s="14" t="n">
        <x:v>120</x:v>
      </x:c>
      <x:c r="F20" s="13" t="str">
        <x:v>正常运行</x:v>
      </x:c>
      <x:c r="G20" s="13" t="str">
        <x:v>稳定运行</x:v>
      </x:c>
    </x:row>
    <x:row r="23">
      <x:c r="A23" s="19" t="str">
        <x:v>采样时间</x:v>
      </x:c>
      <x:c r="B23" s="19" t="str">
        <x:v>泵功率(kW)</x:v>
      </x:c>
      <x:c r="C23" s="19" t="str">
        <x:v>泵电流(A)</x:v>
      </x:c>
      <x:c r="D23" s="19" t="str">
        <x:v>出口压力(MPa)*100</x:v>
      </x:c>
      <x:c r="E23" s="19" t="str">
        <x:v>出料流量(m3/h)</x:v>
      </x:c>
    </x:row>
    <x:row r="24">
      <x:c r="A24" s="19" t="str">
        <x:f>RIGHT(A5,5)</x:f>
        <x:v>09:00</x:v>
      </x:c>
      <x:c r="B24" s="19" t="n">
        <x:f>B5</x:f>
        <x:v>52</x:v>
      </x:c>
      <x:c r="C24" s="19" t="n">
        <x:f>C5</x:f>
        <x:v>96</x:v>
      </x:c>
      <x:c r="D24" s="19" t="n">
        <x:f>D5*100</x:f>
        <x:v>62</x:v>
      </x:c>
      <x:c r="E24" s="19" t="n">
        <x:f>E5</x:f>
        <x:v>120</x:v>
      </x:c>
    </x:row>
    <x:row r="25">
      <x:c r="A25" s="19" t="str">
        <x:f>RIGHT(A6,5)</x:f>
        <x:v>09:01</x:v>
      </x:c>
      <x:c r="B25" s="19" t="n">
        <x:f>B6</x:f>
        <x:v>52.3</x:v>
      </x:c>
      <x:c r="C25" s="19" t="n">
        <x:f>C6</x:f>
        <x:v>96.5</x:v>
      </x:c>
      <x:c r="D25" s="19" t="n">
        <x:f>D6*100</x:f>
        <x:v>63</x:v>
      </x:c>
      <x:c r="E25" s="19" t="n">
        <x:f>E6</x:f>
        <x:v>121</x:v>
      </x:c>
    </x:row>
    <x:row r="26">
      <x:c r="A26" s="19" t="str">
        <x:f>RIGHT(A7,5)</x:f>
        <x:v>09:02</x:v>
      </x:c>
      <x:c r="B26" s="19" t="n">
        <x:f>B7</x:f>
        <x:v>51.8</x:v>
      </x:c>
      <x:c r="C26" s="19" t="n">
        <x:f>C7</x:f>
        <x:v>95.7</x:v>
      </x:c>
      <x:c r="D26" s="19" t="n">
        <x:f>D7*100</x:f>
        <x:v>62</x:v>
      </x:c>
      <x:c r="E26" s="19" t="n">
        <x:f>E7</x:f>
        <x:v>119</x:v>
      </x:c>
    </x:row>
    <x:row r="27">
      <x:c r="A27" s="19" t="str">
        <x:f>RIGHT(A8,5)</x:f>
        <x:v>09:03</x:v>
      </x:c>
      <x:c r="B27" s="19" t="n">
        <x:f>B8</x:f>
        <x:v>52.1</x:v>
      </x:c>
      <x:c r="C27" s="19" t="n">
        <x:f>C8</x:f>
        <x:v>96.2</x:v>
      </x:c>
      <x:c r="D27" s="19" t="n">
        <x:f>D8*100</x:f>
        <x:v>62</x:v>
      </x:c>
      <x:c r="E27" s="19" t="n">
        <x:f>E8</x:f>
        <x:v>120</x:v>
      </x:c>
    </x:row>
    <x:row r="28">
      <x:c r="A28" s="19" t="str">
        <x:f>RIGHT(A9,5)</x:f>
        <x:v>09:04</x:v>
      </x:c>
      <x:c r="B28" s="19" t="n">
        <x:f>B9</x:f>
        <x:v>51.9</x:v>
      </x:c>
      <x:c r="C28" s="19" t="n">
        <x:f>C9</x:f>
        <x:v>95.9</x:v>
      </x:c>
      <x:c r="D28" s="19" t="n">
        <x:f>D9*100</x:f>
        <x:v>61</x:v>
      </x:c>
      <x:c r="E28" s="19" t="n">
        <x:f>E9</x:f>
        <x:v>119</x:v>
      </x:c>
    </x:row>
    <x:row r="29">
      <x:c r="A29" s="19" t="str">
        <x:f>RIGHT(A10,5)</x:f>
        <x:v>09:05</x:v>
      </x:c>
      <x:c r="B29" s="19" t="n">
        <x:f>B10</x:f>
        <x:v>51.5</x:v>
      </x:c>
      <x:c r="C29" s="19" t="n">
        <x:f>C10</x:f>
        <x:v>95</x:v>
      </x:c>
      <x:c r="D29" s="19" t="n">
        <x:f>D10*100</x:f>
        <x:v>60</x:v>
      </x:c>
      <x:c r="E29" s="19" t="n">
        <x:f>E10</x:f>
        <x:v>117</x:v>
      </x:c>
    </x:row>
    <x:row r="30">
      <x:c r="A30" s="19" t="str">
        <x:f>RIGHT(A11,5)</x:f>
        <x:v>09:06</x:v>
      </x:c>
      <x:c r="B30" s="19" t="n">
        <x:f>B11</x:f>
        <x:v>48.7</x:v>
      </x:c>
      <x:c r="C30" s="19" t="n">
        <x:f>C11</x:f>
        <x:v>90.2</x:v>
      </x:c>
      <x:c r="D30" s="19" t="n">
        <x:f>D11*100</x:f>
        <x:v>55.00000000000001</x:v>
      </x:c>
      <x:c r="E30" s="19" t="n">
        <x:f>E11</x:f>
        <x:v>106</x:v>
      </x:c>
    </x:row>
    <x:row r="31">
      <x:c r="A31" s="19" t="str">
        <x:f>RIGHT(A12,5)</x:f>
        <x:v>09:07</x:v>
      </x:c>
      <x:c r="B31" s="19" t="n">
        <x:f>B12</x:f>
        <x:v>46.1</x:v>
      </x:c>
      <x:c r="C31" s="19" t="n">
        <x:f>C12</x:f>
        <x:v>85.7</x:v>
      </x:c>
      <x:c r="D31" s="19" t="n">
        <x:f>D12*100</x:f>
        <x:v>48</x:v>
      </x:c>
      <x:c r="E31" s="19" t="n">
        <x:f>E12</x:f>
        <x:v>92</x:v>
      </x:c>
    </x:row>
    <x:row r="32">
      <x:c r="A32" s="19" t="str">
        <x:f>RIGHT(A13,5)</x:f>
        <x:v>09:08</x:v>
      </x:c>
      <x:c r="B32" s="19" t="n">
        <x:f>B13</x:f>
        <x:v>44.6</x:v>
      </x:c>
      <x:c r="C32" s="19" t="n">
        <x:f>C13</x:f>
        <x:v>82.3</x:v>
      </x:c>
      <x:c r="D32" s="19" t="n">
        <x:f>D13*100</x:f>
        <x:v>43</x:v>
      </x:c>
      <x:c r="E32" s="19" t="n">
        <x:f>E13</x:f>
        <x:v>81</x:v>
      </x:c>
    </x:row>
    <x:row r="33">
      <x:c r="A33" s="19" t="str">
        <x:f>RIGHT(A14,5)</x:f>
        <x:v>09:09</x:v>
      </x:c>
      <x:c r="B33" s="19" t="n">
        <x:f>B14</x:f>
        <x:v>41.8</x:v>
      </x:c>
      <x:c r="C33" s="19" t="n">
        <x:f>C14</x:f>
        <x:v>76.8</x:v>
      </x:c>
      <x:c r="D33" s="19" t="n">
        <x:f>D14*100</x:f>
        <x:v>35</x:v>
      </x:c>
      <x:c r="E33" s="19" t="n">
        <x:f>E14</x:f>
        <x:v>64</x:v>
      </x:c>
    </x:row>
    <x:row r="34">
      <x:c r="A34" s="19" t="str">
        <x:f>RIGHT(A15,5)</x:f>
        <x:v>09:10</x:v>
      </x:c>
      <x:c r="B34" s="19" t="n">
        <x:f>B15</x:f>
        <x:v>43.6</x:v>
      </x:c>
      <x:c r="C34" s="19" t="n">
        <x:f>C15</x:f>
        <x:v>80.1</x:v>
      </x:c>
      <x:c r="D34" s="19" t="n">
        <x:f>D15*100</x:f>
        <x:v>42</x:v>
      </x:c>
      <x:c r="E34" s="19" t="n">
        <x:f>E15</x:f>
        <x:v>78</x:v>
      </x:c>
    </x:row>
    <x:row r="35">
      <x:c r="A35" s="19" t="str">
        <x:f>RIGHT(A16,5)</x:f>
        <x:v>09:11</x:v>
      </x:c>
      <x:c r="B35" s="19" t="n">
        <x:f>B16</x:f>
        <x:v>46.8</x:v>
      </x:c>
      <x:c r="C35" s="19" t="n">
        <x:f>C16</x:f>
        <x:v>86.2</x:v>
      </x:c>
      <x:c r="D35" s="19" t="n">
        <x:f>D16*100</x:f>
        <x:v>50</x:v>
      </x:c>
      <x:c r="E35" s="19" t="n">
        <x:f>E16</x:f>
        <x:v>96</x:v>
      </x:c>
    </x:row>
    <x:row r="36">
      <x:c r="A36" s="19" t="str">
        <x:f>RIGHT(A17,5)</x:f>
        <x:v>09:12</x:v>
      </x:c>
      <x:c r="B36" s="19" t="n">
        <x:f>B17</x:f>
        <x:v>49.7</x:v>
      </x:c>
      <x:c r="C36" s="19" t="n">
        <x:f>C17</x:f>
        <x:v>91.5</x:v>
      </x:c>
      <x:c r="D36" s="19" t="n">
        <x:f>D17*100</x:f>
        <x:v>56.00000000000001</x:v>
      </x:c>
      <x:c r="E36" s="19" t="n">
        <x:f>E17</x:f>
        <x:v>110</x:v>
      </x:c>
    </x:row>
    <x:row r="37">
      <x:c r="A37" s="19" t="str">
        <x:f>RIGHT(A18,5)</x:f>
        <x:v>09:13</x:v>
      </x:c>
      <x:c r="B37" s="19" t="n">
        <x:f>B18</x:f>
        <x:v>51</x:v>
      </x:c>
      <x:c r="C37" s="19" t="n">
        <x:f>C18</x:f>
        <x:v>94.3</x:v>
      </x:c>
      <x:c r="D37" s="19" t="n">
        <x:f>D18*100</x:f>
        <x:v>59</x:v>
      </x:c>
      <x:c r="E37" s="19" t="n">
        <x:f>E18</x:f>
        <x:v>116</x:v>
      </x:c>
    </x:row>
    <x:row r="38">
      <x:c r="A38" s="19" t="str">
        <x:f>RIGHT(A19,5)</x:f>
        <x:v>09:14</x:v>
      </x:c>
      <x:c r="B38" s="19" t="n">
        <x:f>B19</x:f>
        <x:v>51.8</x:v>
      </x:c>
      <x:c r="C38" s="19" t="n">
        <x:f>C19</x:f>
        <x:v>95.8</x:v>
      </x:c>
      <x:c r="D38" s="19" t="n">
        <x:f>D19*100</x:f>
        <x:v>61</x:v>
      </x:c>
      <x:c r="E38" s="19" t="n">
        <x:f>E19</x:f>
        <x:v>119</x:v>
      </x:c>
    </x:row>
    <x:row r="39">
      <x:c r="A39" s="19" t="str">
        <x:f>RIGHT(A20,5)</x:f>
        <x:v>09:15</x:v>
      </x:c>
      <x:c r="B39" s="19" t="n">
        <x:f>B20</x:f>
        <x:v>52.1</x:v>
      </x:c>
      <x:c r="C39" s="19" t="n">
        <x:f>C20</x:f>
        <x:v>96.1</x:v>
      </x:c>
      <x:c r="D39" s="19" t="n">
        <x:f>D20*100</x:f>
        <x:v>62</x:v>
      </x:c>
      <x:c r="E39" s="19" t="n">
        <x:f>E20</x:f>
        <x:v>120</x:v>
      </x:c>
    </x:row>
  </x:sheetData>
  <x:mergeCells>
    <x:mergeCell ref="A1:G1"/>
    <x:mergeCell ref="A2:G2"/>
  </x:mergeCells>
  <x:pageMargins left="0.7" right="0.7" top="0.75" bottom="0.75" header="0.3" footer="0.3"/>
  <x:drawing xmlns:r="http://schemas.openxmlformats.org/officeDocument/2006/relationships" r:id="R8782863064774270"/>
  <x:tableParts count="1">
    <x:tablePart xmlns:r="http://schemas.openxmlformats.org/officeDocument/2006/relationships" r:id="R225f1095c30240a9"/>
  </x:tableParts>
</x:worksheet>
</file>