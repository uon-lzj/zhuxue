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7f84384a014f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点位分类表" sheetId="1" r:id="Rfdd8be5139dd4c74"/>
    <x:sheet xmlns:r="http://schemas.openxmlformats.org/officeDocument/2006/relationships" name="故障点位对应" sheetId="2" r:id="R3c8268ae80544acd"/>
    <x:sheet xmlns:r="http://schemas.openxmlformats.org/officeDocument/2006/relationships" name="分类汇总" sheetId="3" r:id="R6f03c513c23248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334155"/>
      <x:name val="Carlito"/>
    </x:font>
    <x:font>
      <x:b/>
      <x:sz val="11"/>
      <x:color rgb="FFFFFFFF"/>
      <x:name val="Carlito"/>
    </x:font>
    <x:font>
      <x:b/>
      <x:sz val="11"/>
      <x:color rgb="FF0F172A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0F4C81"/>
      </x:patternFill>
    </x:fill>
    <x:fill>
      <x:patternFill patternType="solid">
        <x:fgColor rgb="FFEAF3F8"/>
      </x:patternFill>
    </x:fill>
    <x:fill>
      <x:patternFill patternType="solid">
        <x:fgColor rgb="FF1D6FA4"/>
      </x:patternFill>
    </x:fill>
    <x:fill>
      <x:patternFill patternType="solid">
        <x:fgColor rgb="FFDBEAFE"/>
      </x:patternFill>
    </x:fill>
    <x:fill>
      <x:patternFill patternType="solid">
        <x:fgColor rgb="FFEDE9FE"/>
      </x:patternFill>
    </x:fill>
    <x:fill>
      <x:patternFill patternType="solid">
        <x:fgColor rgb="FFFEF3C7"/>
      </x:patternFill>
    </x:fill>
    <x:fill>
      <x:patternFill patternType="solid">
        <x:fgColor rgb="FFCCFBF1"/>
      </x:patternFill>
    </x:fill>
    <x:fill>
      <x:patternFill patternType="solid">
        <x:fgColor rgb="FFFEE2E2"/>
      </x:patternFill>
    </x:fill>
    <x:fill>
      <x:patternFill patternType="solid">
        <x:fgColor rgb="FFE2E8F0"/>
      </x:patternFill>
    </x:fill>
    <x:fill>
      <x:patternFill patternType="solid">
        <x:fgColor rgb="FFCFFAFE"/>
      </x:patternFill>
    </x:fill>
    <x:fill>
      <x:patternFill patternType="solid">
        <x:fgColor rgb="FFFFE4E6"/>
      </x:patternFill>
    </x:fill>
    <x:fill>
      <x:patternFill patternType="solid">
        <x:fgColor rgb="FFFFEDD5"/>
      </x:patternFill>
    </x:fill>
    <x:fill>
      <x:patternFill patternType="solid">
        <x:fgColor rgb="FFDCFCE7"/>
      </x:patternFill>
    </x:fill>
  </x:fills>
  <x:borders count="11">
    <x:border/>
    <x:border>
      <x:left style="thin">
        <x:color rgb="FFD8E2EC"/>
      </x:left>
      <x:right style="thin">
        <x:color rgb="FFD8E2EC"/>
      </x:right>
      <x:top style="thin">
        <x:color rgb="FFD8E2EC"/>
      </x:top>
      <x:bottom style="thin">
        <x:color rgb="FFD8E2EC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CBD5E1"/>
      </x:bottom>
    </x:border>
    <x:border>
      <x:left style="thin">
        <x:color rgb="FFE2E8F0"/>
      </x:left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1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horizontal="center" vertical="center" wrapText="1"/>
    </x:xf>
    <x:xf numFmtId="0" fontId="0" fillId="0" borderId="9" xfId="0" applyNumberFormat="1" applyFont="1" applyFill="1" applyBorder="1" applyAlignment="1">
      <x:alignment horizontal="center" vertical="center" wrapText="1"/>
    </x:xf>
    <x:xf numFmtId="0" fontId="0" fillId="5" borderId="3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0" fillId="5" borderId="6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horizontal="center" vertical="center" wrapText="1"/>
    </x:xf>
    <x:xf numFmtId="0" fontId="0" fillId="6" borderId="6" xfId="0" applyNumberFormat="1" applyFont="1" applyFill="1" applyBorder="1" applyAlignment="1">
      <x:alignment vertical="center" wrapText="1"/>
    </x:xf>
    <x:xf numFmtId="0" fontId="4" fillId="6" borderId="6" xfId="0" applyNumberFormat="1" applyFont="1" applyFill="1" applyBorder="1" applyAlignment="1">
      <x:alignment vertical="center" wrapText="1"/>
    </x:xf>
    <x:xf numFmtId="0" fontId="4" fillId="6" borderId="6" xfId="0" applyNumberFormat="1" applyFont="1" applyFill="1" applyBorder="1" applyAlignment="1">
      <x:alignment horizontal="center" vertical="center" wrapText="1"/>
    </x:xf>
    <x:xf numFmtId="0" fontId="0" fillId="7" borderId="6" xfId="0" applyNumberFormat="1" applyFont="1" applyFill="1" applyBorder="1" applyAlignment="1">
      <x:alignment vertical="center" wrapText="1"/>
    </x:xf>
    <x:xf numFmtId="0" fontId="4" fillId="7" borderId="6" xfId="0" applyNumberFormat="1" applyFont="1" applyFill="1" applyBorder="1" applyAlignment="1">
      <x:alignment vertical="center" wrapText="1"/>
    </x:xf>
    <x:xf numFmtId="0" fontId="4" fillId="7" borderId="6" xfId="0" applyNumberFormat="1" applyFont="1" applyFill="1" applyBorder="1" applyAlignment="1">
      <x:alignment horizontal="center" vertical="center" wrapText="1"/>
    </x:xf>
    <x:xf numFmtId="0" fontId="0" fillId="8" borderId="6" xfId="0" applyNumberFormat="1" applyFont="1" applyFill="1" applyBorder="1" applyAlignment="1">
      <x:alignment vertical="center" wrapText="1"/>
    </x:xf>
    <x:xf numFmtId="0" fontId="4" fillId="8" borderId="6" xfId="0" applyNumberFormat="1" applyFont="1" applyFill="1" applyBorder="1" applyAlignment="1">
      <x:alignment vertical="center" wrapText="1"/>
    </x:xf>
    <x:xf numFmtId="0" fontId="4" fillId="8" borderId="6" xfId="0" applyNumberFormat="1" applyFont="1" applyFill="1" applyBorder="1" applyAlignment="1">
      <x:alignment horizontal="center" vertical="center" wrapText="1"/>
    </x:xf>
    <x:xf numFmtId="0" fontId="0" fillId="9" borderId="6" xfId="0" applyNumberFormat="1" applyFont="1" applyFill="1" applyBorder="1" applyAlignment="1">
      <x:alignment vertical="center" wrapText="1"/>
    </x:xf>
    <x:xf numFmtId="0" fontId="4" fillId="9" borderId="6" xfId="0" applyNumberFormat="1" applyFont="1" applyFill="1" applyBorder="1" applyAlignment="1">
      <x:alignment vertical="center" wrapText="1"/>
    </x:xf>
    <x:xf numFmtId="0" fontId="4" fillId="9" borderId="6" xfId="0" applyNumberFormat="1" applyFont="1" applyFill="1" applyBorder="1" applyAlignment="1">
      <x:alignment horizontal="center" vertical="center" wrapText="1"/>
    </x:xf>
    <x:xf numFmtId="0" fontId="0" fillId="10" borderId="6" xfId="0" applyNumberFormat="1" applyFont="1" applyFill="1" applyBorder="1" applyAlignment="1">
      <x:alignment vertical="center" wrapText="1"/>
    </x:xf>
    <x:xf numFmtId="0" fontId="4" fillId="10" borderId="6" xfId="0" applyNumberFormat="1" applyFont="1" applyFill="1" applyBorder="1" applyAlignment="1">
      <x:alignment vertical="center" wrapText="1"/>
    </x:xf>
    <x:xf numFmtId="0" fontId="4" fillId="10" borderId="6" xfId="0" applyNumberFormat="1" applyFont="1" applyFill="1" applyBorder="1" applyAlignment="1">
      <x:alignment horizontal="center" vertical="center" wrapText="1"/>
    </x:xf>
    <x:xf numFmtId="0" fontId="0" fillId="10" borderId="9" xfId="0" applyNumberFormat="1" applyFont="1" applyFill="1" applyBorder="1" applyAlignment="1">
      <x:alignment vertical="center" wrapText="1"/>
    </x:xf>
    <x:xf numFmtId="0" fontId="4" fillId="10" borderId="9" xfId="0" applyNumberFormat="1" applyFont="1" applyFill="1" applyBorder="1" applyAlignment="1">
      <x:alignment vertical="center" wrapText="1"/>
    </x:xf>
    <x:xf numFmtId="0" fontId="4" fillId="10" borderId="9" xfId="0" applyNumberFormat="1" applyFont="1" applyFill="1" applyBorder="1" applyAlignment="1">
      <x:alignment horizontal="center" vertical="center" wrapText="1"/>
    </x:xf>
    <x:xf numFmtId="0" fontId="0" fillId="9" borderId="3" xfId="0" applyNumberFormat="1" applyFont="1" applyFill="1" applyBorder="1" applyAlignment="1">
      <x:alignment horizontal="center" vertical="center" wrapText="1"/>
    </x:xf>
    <x:xf numFmtId="0" fontId="4" fillId="9" borderId="3" xfId="0" applyNumberFormat="1" applyFont="1" applyFill="1" applyBorder="1" applyAlignment="1">
      <x:alignment horizontal="center" vertical="center" wrapText="1"/>
    </x:xf>
    <x:xf numFmtId="0" fontId="0" fillId="9" borderId="6" xfId="0" applyNumberFormat="1" applyFont="1" applyFill="1" applyBorder="1" applyAlignment="1">
      <x:alignment horizontal="center" vertical="center" wrapText="1"/>
    </x:xf>
    <x:xf numFmtId="0" fontId="0" fillId="7" borderId="6" xfId="0" applyNumberFormat="1" applyFont="1" applyFill="1" applyBorder="1" applyAlignment="1">
      <x:alignment horizontal="center" vertical="center" wrapText="1"/>
    </x:xf>
    <x:xf numFmtId="0" fontId="0" fillId="6" borderId="6" xfId="0" applyNumberFormat="1" applyFont="1" applyFill="1" applyBorder="1" applyAlignment="1">
      <x:alignment horizontal="center" vertical="center" wrapText="1"/>
    </x:xf>
    <x:xf numFmtId="0" fontId="0" fillId="11" borderId="6" xfId="0" applyNumberFormat="1" applyFont="1" applyFill="1" applyBorder="1" applyAlignment="1">
      <x:alignment horizontal="center" vertical="center" wrapText="1"/>
    </x:xf>
    <x:xf numFmtId="0" fontId="4" fillId="11" borderId="6" xfId="0" applyNumberFormat="1" applyFont="1" applyFill="1" applyBorder="1" applyAlignment="1">
      <x:alignment horizontal="center" vertical="center" wrapText="1"/>
    </x:xf>
    <x:xf numFmtId="0" fontId="0" fillId="12" borderId="6" xfId="0" applyNumberFormat="1" applyFont="1" applyFill="1" applyBorder="1" applyAlignment="1">
      <x:alignment horizontal="center" vertical="center" wrapText="1"/>
    </x:xf>
    <x:xf numFmtId="0" fontId="4" fillId="12" borderId="6" xfId="0" applyNumberFormat="1" applyFont="1" applyFill="1" applyBorder="1" applyAlignment="1">
      <x:alignment horizontal="center" vertical="center" wrapText="1"/>
    </x:xf>
    <x:xf numFmtId="0" fontId="0" fillId="13" borderId="6" xfId="0" applyNumberFormat="1" applyFont="1" applyFill="1" applyBorder="1" applyAlignment="1">
      <x:alignment horizontal="center" vertical="center" wrapText="1"/>
    </x:xf>
    <x:xf numFmtId="0" fontId="4" fillId="13" borderId="6" xfId="0" applyNumberFormat="1" applyFont="1" applyFill="1" applyBorder="1" applyAlignment="1">
      <x:alignment horizontal="center" vertical="center" wrapText="1"/>
    </x:xf>
    <x:xf numFmtId="0" fontId="0" fillId="5" borderId="6" xfId="0" applyNumberFormat="1" applyFont="1" applyFill="1" applyBorder="1" applyAlignment="1">
      <x:alignment horizontal="center" vertical="center" wrapText="1"/>
    </x:xf>
    <x:xf numFmtId="0" fontId="0" fillId="14" borderId="6" xfId="0" applyNumberFormat="1" applyFont="1" applyFill="1" applyBorder="1" applyAlignment="1">
      <x:alignment horizontal="center" vertical="center" wrapText="1"/>
    </x:xf>
    <x:xf numFmtId="0" fontId="4" fillId="14" borderId="6" xfId="0" applyNumberFormat="1" applyFont="1" applyFill="1" applyBorder="1" applyAlignment="1">
      <x:alignment horizontal="center" vertical="center" wrapText="1"/>
    </x:xf>
    <x:xf numFmtId="0" fontId="0" fillId="14" borderId="9" xfId="0" applyNumberFormat="1" applyFont="1" applyFill="1" applyBorder="1" applyAlignment="1">
      <x:alignment horizontal="center" vertical="center" wrapText="1"/>
    </x:xf>
    <x:xf numFmtId="0" fontId="4" fillId="14" borderId="9" xfId="0" applyNumberFormat="1" applyFont="1" applyFill="1" applyBorder="1" applyAlignment="1">
      <x:alignment horizontal="center" vertical="center" wrapText="1"/>
    </x:xf>
    <x:xf numFmtId="0" fontId="0" fillId="8" borderId="9" xfId="0" applyNumberFormat="1" applyFont="1" applyFill="1" applyBorder="1" applyAlignment="1">
      <x:alignment vertical="center" wrapText="1"/>
    </x:xf>
    <x:xf numFmtId="0" fontId="4" fillId="8" borderId="9" xfId="0" applyNumberFormat="1" applyFont="1" applyFill="1" applyBorder="1" applyAlignment="1">
      <x:alignment vertical="center" wrapText="1"/>
    </x:xf>
    <x:xf numFmtId="0" fontId="4" fillId="8" borderId="9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/>
    </x:xf>
    <x:xf numFmtId="200" fontId="0" fillId="0" borderId="3" xfId="0" applyNumberFormat="1" applyFont="1" applyFill="1" applyBorder="1" applyAlignment="1">
      <x:alignment vertical="center" wrapText="1"/>
    </x:xf>
    <x:xf numFmtId="200" fontId="0" fillId="0" borderId="6" xfId="0" applyNumberFormat="1" applyFont="1" applyFill="1" applyBorder="1" applyAlignment="1">
      <x:alignment vertical="center" wrapText="1"/>
    </x:xf>
    <x:xf numFmtId="200" fontId="0" fillId="0" borderId="9" xfId="0" applyNumberFormat="1" applyFont="1" applyFill="1" applyBorder="1" applyAlignment="1">
      <x:alignment vertical="center" wrapText="1"/>
    </x:xf>
    <x:xf numFmtId="200" fontId="0" fillId="0" borderId="3" xfId="0" applyNumberFormat="1" applyFont="1" applyFill="1" applyBorder="1" applyAlignment="1">
      <x:alignment horizontal="center" vertical="center" wrapText="1"/>
    </x:xf>
    <x:xf numFmtId="200" fontId="0" fillId="0" borderId="6" xfId="0" applyNumberFormat="1" applyFont="1" applyFill="1" applyBorder="1" applyAlignment="1">
      <x:alignment horizontal="center" vertical="center" wrapText="1"/>
    </x:xf>
    <x:xf numFmtId="200" fontId="0" fillId="0" borderId="9" xfId="0" applyNumberFormat="1" applyFont="1" applyFill="1" applyBorder="1" applyAlignment="1">
      <x:alignment horizontal="center" vertical="center" wrapText="1"/>
    </x:xf>
    <x:xf numFmtId="0" fontId="0" fillId="5" borderId="2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0" fillId="6" borderId="5" xfId="0" applyNumberFormat="1" applyFont="1" applyFill="1" applyBorder="1" applyAlignment="1">
      <x:alignment vertical="center" wrapText="1"/>
    </x:xf>
    <x:xf numFmtId="0" fontId="4" fillId="6" borderId="5" xfId="0" applyNumberFormat="1" applyFont="1" applyFill="1" applyBorder="1" applyAlignment="1">
      <x:alignment vertical="center" wrapText="1"/>
    </x:xf>
    <x:xf numFmtId="0" fontId="4" fillId="6" borderId="5" xfId="0" applyNumberFormat="1" applyFont="1" applyFill="1" applyBorder="1" applyAlignment="1">
      <x:alignment horizontal="center" vertical="center" wrapText="1"/>
    </x:xf>
    <x:xf numFmtId="0" fontId="0" fillId="7" borderId="5" xfId="0" applyNumberFormat="1" applyFont="1" applyFill="1" applyBorder="1" applyAlignment="1">
      <x:alignment vertical="center" wrapText="1"/>
    </x:xf>
    <x:xf numFmtId="0" fontId="4" fillId="7" borderId="5" xfId="0" applyNumberFormat="1" applyFont="1" applyFill="1" applyBorder="1" applyAlignment="1">
      <x:alignment vertical="center" wrapText="1"/>
    </x:xf>
    <x:xf numFmtId="0" fontId="4" fillId="7" borderId="5" xfId="0" applyNumberFormat="1" applyFont="1" applyFill="1" applyBorder="1" applyAlignment="1">
      <x:alignment horizontal="center" vertical="center" wrapText="1"/>
    </x:xf>
    <x:xf numFmtId="0" fontId="0" fillId="8" borderId="5" xfId="0" applyNumberFormat="1" applyFont="1" applyFill="1" applyBorder="1" applyAlignment="1">
      <x:alignment vertical="center" wrapText="1"/>
    </x:xf>
    <x:xf numFmtId="0" fontId="4" fillId="8" borderId="5" xfId="0" applyNumberFormat="1" applyFont="1" applyFill="1" applyBorder="1" applyAlignment="1">
      <x:alignment vertical="center" wrapText="1"/>
    </x:xf>
    <x:xf numFmtId="0" fontId="4" fillId="8" borderId="5" xfId="0" applyNumberFormat="1" applyFont="1" applyFill="1" applyBorder="1" applyAlignment="1">
      <x:alignment horizontal="center" vertical="center" wrapText="1"/>
    </x:xf>
    <x:xf numFmtId="0" fontId="0" fillId="9" borderId="5" xfId="0" applyNumberFormat="1" applyFont="1" applyFill="1" applyBorder="1" applyAlignment="1">
      <x:alignment vertical="center" wrapText="1"/>
    </x:xf>
    <x:xf numFmtId="0" fontId="4" fillId="9" borderId="5" xfId="0" applyNumberFormat="1" applyFont="1" applyFill="1" applyBorder="1" applyAlignment="1">
      <x:alignment vertical="center" wrapText="1"/>
    </x:xf>
    <x:xf numFmtId="0" fontId="4" fillId="9" borderId="5" xfId="0" applyNumberFormat="1" applyFont="1" applyFill="1" applyBorder="1" applyAlignment="1">
      <x:alignment horizontal="center" vertical="center" wrapText="1"/>
    </x:xf>
    <x:xf numFmtId="0" fontId="0" fillId="10" borderId="8" xfId="0" applyNumberFormat="1" applyFont="1" applyFill="1" applyBorder="1" applyAlignment="1">
      <x:alignment vertical="center" wrapText="1"/>
    </x:xf>
    <x:xf numFmtId="0" fontId="4" fillId="10" borderId="8" xfId="0" applyNumberFormat="1" applyFont="1" applyFill="1" applyBorder="1" applyAlignment="1">
      <x:alignment vertical="center" wrapText="1"/>
    </x:xf>
    <x:xf numFmtId="0" fontId="4" fillId="10" borderId="8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6fc16df55d4d49" /><Relationship Type="http://schemas.openxmlformats.org/officeDocument/2006/relationships/theme" Target="/xl/theme/theme1.xml" Id="R2ebb32df96ab4c74" /><Relationship Type="http://schemas.openxmlformats.org/officeDocument/2006/relationships/sharedStrings" Target="/xl/sharedStrings.xml" Id="R00c668d1f5a84a8c" /><Relationship Type="http://schemas.openxmlformats.org/officeDocument/2006/relationships/worksheet" Target="/xl/worksheets/sheet1.xml" Id="Rfdd8be5139dd4c74" /><Relationship Type="http://schemas.openxmlformats.org/officeDocument/2006/relationships/worksheet" Target="/xl/worksheets/sheet2.xml" Id="R3c8268ae80544acd" /><Relationship Type="http://schemas.openxmlformats.org/officeDocument/2006/relationships/worksheet" Target="/xl/worksheets/sheet3.xml" Id="R6f03c513c232480b" /></Relationships>
</file>

<file path=xl/tables/table1.xml><?xml version="1.0" encoding="utf-8"?>
<x:table xmlns:x="http://schemas.openxmlformats.org/spreadsheetml/2006/main" id="1" name="PumpPointClassificationTable" displayName="PumpPointClassificationTable" ref="A4:F42" headerRowCount="1" totalsRowCount="0" totalsRowShown="0">
  <x:autoFilter ref="A4:F42"/>
  <x:tableColumns count="6">
    <x:tableColumn id="1" name="序号"/>
    <x:tableColumn id="2" name="门类"/>
    <x:tableColumn id="3" name="点位"/>
    <x:tableColumn id="4" name="单位"/>
    <x:tableColumn id="5" name="量程"/>
    <x:tableColumn id="6" name="点位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aultPointMappingTable" displayName="FaultPointMappingTable" ref="A4:I38" headerRowCount="1" totalsRowCount="0" totalsRowShown="0">
  <x:autoFilter ref="A4:I38"/>
  <x:tableColumns count="9">
    <x:tableColumn id="1" name="序号"/>
    <x:tableColumn id="2" name="故障类型"/>
    <x:tableColumn id="3" name="点位数"/>
    <x:tableColumn id="4" name="点位"/>
    <x:tableColumn id="5" name="门类"/>
    <x:tableColumn id="6" name="单位"/>
    <x:tableColumn id="7" name="量程"/>
    <x:tableColumn id="8" name="点位说明"/>
    <x:tableColumn id="9" name="判断侧重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df854788cea409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cec08cc67cb45d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8" hidden="0" customWidth="1"/>
    <x:col min="4" max="4" width="10" hidden="0" customWidth="1"/>
    <x:col min="5" max="5" width="12" hidden="0" customWidth="1"/>
    <x:col min="6" max="6" width="46" hidden="0" customWidth="1"/>
  </x:cols>
  <x:sheetData>
    <x:row r="1" ht="28" customHeight="1">
      <x:c r="A1" s="4" t="str">
        <x:v>离心泵监测点位分类表</x:v>
      </x:c>
      <x:c r="B1" s="4"/>
      <x:c r="C1" s="4"/>
      <x:c r="D1" s="4"/>
      <x:c r="E1" s="4"/>
      <x:c r="F1" s="4"/>
    </x:row>
    <x:row r="2" ht="24" customHeight="1">
      <x:c r="A2" s="7" t="str">
        <x:v>按过程测量、控制回路、阀门执行、泵电气/状态、异常指标、控制参数六类整理</x:v>
      </x:c>
      <x:c r="B2" s="7"/>
      <x:c r="C2" s="7"/>
      <x:c r="D2" s="7"/>
      <x:c r="E2" s="7"/>
      <x:c r="F2" s="7"/>
    </x:row>
    <x:row r="4">
      <x:c r="A4" s="12" t="str">
        <x:v>序号</x:v>
      </x:c>
      <x:c r="B4" s="12" t="str">
        <x:v>门类</x:v>
      </x:c>
      <x:c r="C4" s="12" t="str">
        <x:v>点位</x:v>
      </x:c>
      <x:c r="D4" s="12" t="str">
        <x:v>单位</x:v>
      </x:c>
      <x:c r="E4" s="12" t="str">
        <x:v>量程</x:v>
      </x:c>
      <x:c r="F4" s="12" t="str">
        <x:v>点位说明</x:v>
      </x:c>
    </x:row>
    <x:row r="5" ht="25" customHeight="1">
      <x:c r="A5" s="40" t="n">
        <x:v>1</x:v>
      </x:c>
      <x:c r="B5" s="48" t="str">
        <x:v>过程测量</x:v>
      </x:c>
      <x:c r="C5" s="32" t="str">
        <x:v>FI10501J.PV</x:v>
      </x:c>
      <x:c r="D5" s="43" t="str">
        <x:v>t/h</x:v>
      </x:c>
      <x:c r="E5" s="43" t="str">
        <x:v>0-100</x:v>
      </x:c>
      <x:c r="F5" s="33" t="str">
        <x:v>催化裂化液化气自双脱部分来流量显示</x:v>
      </x:c>
    </x:row>
    <x:row r="6" ht="25" customHeight="1">
      <x:c r="A6" s="41" t="n">
        <x:v>2</x:v>
      </x:c>
      <x:c r="B6" s="51" t="str">
        <x:v>过程测量</x:v>
      </x:c>
      <x:c r="C6" s="35" t="str">
        <x:v>FI10301J.PV</x:v>
      </x:c>
      <x:c r="D6" s="44" t="str">
        <x:v>t/h</x:v>
      </x:c>
      <x:c r="E6" s="44" t="str"/>
      <x:c r="F6" s="36" t="str">
        <x:v>催化裂化液化气自罐区来流量显示</x:v>
      </x:c>
    </x:row>
    <x:row r="7" ht="25" customHeight="1">
      <x:c r="A7" s="41" t="n">
        <x:v>3</x:v>
      </x:c>
      <x:c r="B7" s="51" t="str">
        <x:v>过程测量</x:v>
      </x:c>
      <x:c r="C7" s="35" t="str">
        <x:v>PI10105.PV</x:v>
      </x:c>
      <x:c r="D7" s="44" t="str">
        <x:v>MPa</x:v>
      </x:c>
      <x:c r="E7" s="44" t="str"/>
      <x:c r="F7" s="36" t="str">
        <x:v>催化裂化液化气自双脱部分来压力显示</x:v>
      </x:c>
    </x:row>
    <x:row r="8" ht="25" customHeight="1">
      <x:c r="A8" s="41" t="n">
        <x:v>4</x:v>
      </x:c>
      <x:c r="B8" s="51" t="str">
        <x:v>过程测量</x:v>
      </x:c>
      <x:c r="C8" s="35" t="str">
        <x:v>PI10103.PV</x:v>
      </x:c>
      <x:c r="D8" s="44" t="str">
        <x:v>MPa</x:v>
      </x:c>
      <x:c r="E8" s="44" t="str"/>
      <x:c r="F8" s="36" t="str">
        <x:v>催化裂化液化气自罐区来压力显示</x:v>
      </x:c>
    </x:row>
    <x:row r="9" ht="25" customHeight="1">
      <x:c r="A9" s="41" t="n">
        <x:v>5</x:v>
      </x:c>
      <x:c r="B9" s="51" t="str">
        <x:v>过程测量</x:v>
      </x:c>
      <x:c r="C9" s="35" t="str">
        <x:v>TI10101.PV</x:v>
      </x:c>
      <x:c r="D9" s="44" t="str">
        <x:v>℃</x:v>
      </x:c>
      <x:c r="E9" s="44" t="str">
        <x:v>0-100</x:v>
      </x:c>
      <x:c r="F9" s="36" t="str">
        <x:v>催化裂化液化气自双脱部分来温度显示</x:v>
      </x:c>
    </x:row>
    <x:row r="10" ht="25" customHeight="1">
      <x:c r="A10" s="41" t="n">
        <x:v>6</x:v>
      </x:c>
      <x:c r="B10" s="51" t="str">
        <x:v>过程测量</x:v>
      </x:c>
      <x:c r="C10" s="35" t="str">
        <x:v>TI10103.PV</x:v>
      </x:c>
      <x:c r="D10" s="44" t="str">
        <x:v>℃</x:v>
      </x:c>
      <x:c r="E10" s="44" t="str"/>
      <x:c r="F10" s="36" t="str">
        <x:v>催化裂化液化气自罐区来温度显示</x:v>
      </x:c>
    </x:row>
    <x:row r="11" ht="25" customHeight="1">
      <x:c r="A11" s="41" t="n">
        <x:v>7</x:v>
      </x:c>
      <x:c r="B11" s="51" t="str">
        <x:v>过程测量</x:v>
      </x:c>
      <x:c r="C11" s="35" t="str">
        <x:v>PI10101.PV</x:v>
      </x:c>
      <x:c r="D11" s="44" t="str">
        <x:v>MPa</x:v>
      </x:c>
      <x:c r="E11" s="44" t="str">
        <x:v>0-2.5</x:v>
      </x:c>
      <x:c r="F11" s="36" t="str">
        <x:v>D101罐顶压力显示</x:v>
      </x:c>
    </x:row>
    <x:row r="12" ht="25" customHeight="1">
      <x:c r="A12" s="41" t="n">
        <x:v>8</x:v>
      </x:c>
      <x:c r="B12" s="51" t="str">
        <x:v>过程测量</x:v>
      </x:c>
      <x:c r="C12" s="35" t="str">
        <x:v>PIP101A1.PV</x:v>
      </x:c>
      <x:c r="D12" s="44" t="str">
        <x:v>MPa</x:v>
      </x:c>
      <x:c r="E12" s="44" t="str">
        <x:v>0-5</x:v>
      </x:c>
      <x:c r="F12" s="36" t="str">
        <x:v>P101A出口压力显示</x:v>
      </x:c>
    </x:row>
    <x:row r="13" ht="25" customHeight="1">
      <x:c r="A13" s="41" t="n">
        <x:v>9</x:v>
      </x:c>
      <x:c r="B13" s="51" t="str">
        <x:v>过程测量</x:v>
      </x:c>
      <x:c r="C13" s="35" t="str">
        <x:v>PIP101B1.PV</x:v>
      </x:c>
      <x:c r="D13" s="44" t="str">
        <x:v>MPa</x:v>
      </x:c>
      <x:c r="E13" s="44" t="str">
        <x:v>0-5</x:v>
      </x:c>
      <x:c r="F13" s="36" t="str">
        <x:v>P101B出口压力显示</x:v>
      </x:c>
    </x:row>
    <x:row r="14" ht="25" customHeight="1">
      <x:c r="A14" s="41" t="n">
        <x:v>10</x:v>
      </x:c>
      <x:c r="B14" s="51" t="str">
        <x:v>过程测量</x:v>
      </x:c>
      <x:c r="C14" s="35" t="str">
        <x:v>FIC10101.PV</x:v>
      </x:c>
      <x:c r="D14" s="44" t="str">
        <x:v>t/h</x:v>
      </x:c>
      <x:c r="E14" s="44" t="str">
        <x:v>0-180</x:v>
      </x:c>
      <x:c r="F14" s="36" t="str">
        <x:v>出料流量控制显示</x:v>
      </x:c>
    </x:row>
    <x:row r="15" ht="25" customHeight="1">
      <x:c r="A15" s="41" t="n">
        <x:v>11</x:v>
      </x:c>
      <x:c r="B15" s="54" t="str">
        <x:v>控制回路</x:v>
      </x:c>
      <x:c r="C15" s="35" t="str">
        <x:v>FIC10101.OP</x:v>
      </x:c>
      <x:c r="D15" s="44" t="str">
        <x:v>%</x:v>
      </x:c>
      <x:c r="E15" s="44" t="str">
        <x:v>0-100</x:v>
      </x:c>
      <x:c r="F15" s="36" t="str">
        <x:v>出料流量控制阀门</x:v>
      </x:c>
    </x:row>
    <x:row r="16" ht="25" customHeight="1">
      <x:c r="A16" s="41" t="n">
        <x:v>12</x:v>
      </x:c>
      <x:c r="B16" s="54" t="str">
        <x:v>控制回路</x:v>
      </x:c>
      <x:c r="C16" s="35" t="str">
        <x:v>FIC10101.SP</x:v>
      </x:c>
      <x:c r="D16" s="44" t="str">
        <x:v>t/h</x:v>
      </x:c>
      <x:c r="E16" s="44" t="str">
        <x:v>0-180</x:v>
      </x:c>
      <x:c r="F16" s="36" t="str">
        <x:v>出料流量控制设定值</x:v>
      </x:c>
    </x:row>
    <x:row r="17" ht="25" customHeight="1">
      <x:c r="A17" s="41" t="n">
        <x:v>13</x:v>
      </x:c>
      <x:c r="B17" s="54" t="str">
        <x:v>控制回路</x:v>
      </x:c>
      <x:c r="C17" s="35" t="str">
        <x:v>LIC10101.PV</x:v>
      </x:c>
      <x:c r="D17" s="44" t="str">
        <x:v>%</x:v>
      </x:c>
      <x:c r="E17" s="44" t="str">
        <x:v>0-100</x:v>
      </x:c>
      <x:c r="F17" s="36" t="str">
        <x:v>D101液位控制显示</x:v>
      </x:c>
    </x:row>
    <x:row r="18" ht="25" customHeight="1">
      <x:c r="A18" s="41" t="n">
        <x:v>14</x:v>
      </x:c>
      <x:c r="B18" s="54" t="str">
        <x:v>控制回路</x:v>
      </x:c>
      <x:c r="C18" s="35" t="str">
        <x:v>LIC10101.OP</x:v>
      </x:c>
      <x:c r="D18" s="44" t="str">
        <x:v>%</x:v>
      </x:c>
      <x:c r="E18" s="44" t="str">
        <x:v>0-100</x:v>
      </x:c>
      <x:c r="F18" s="36" t="str">
        <x:v>D101液位控制阀门</x:v>
      </x:c>
    </x:row>
    <x:row r="19" ht="25" customHeight="1">
      <x:c r="A19" s="41" t="n">
        <x:v>15</x:v>
      </x:c>
      <x:c r="B19" s="54" t="str">
        <x:v>控制回路</x:v>
      </x:c>
      <x:c r="C19" s="35" t="str">
        <x:v>LIC10101.SP</x:v>
      </x:c>
      <x:c r="D19" s="44" t="str">
        <x:v>%</x:v>
      </x:c>
      <x:c r="E19" s="44" t="str">
        <x:v>0-100</x:v>
      </x:c>
      <x:c r="F19" s="36" t="str">
        <x:v>D101液位控制设定值</x:v>
      </x:c>
    </x:row>
    <x:row r="20" ht="25" customHeight="1">
      <x:c r="A20" s="41" t="n">
        <x:v>16</x:v>
      </x:c>
      <x:c r="B20" s="57" t="str">
        <x:v>阀门执行</x:v>
      </x:c>
      <x:c r="C20" s="35" t="str">
        <x:v>FV10101.OP</x:v>
      </x:c>
      <x:c r="D20" s="44" t="str">
        <x:v>%</x:v>
      </x:c>
      <x:c r="E20" s="44" t="str">
        <x:v>0-100</x:v>
      </x:c>
      <x:c r="F20" s="36" t="str">
        <x:v>出料流量控制阀门</x:v>
      </x:c>
    </x:row>
    <x:row r="21" ht="25" customHeight="1">
      <x:c r="A21" s="41" t="n">
        <x:v>17</x:v>
      </x:c>
      <x:c r="B21" s="57" t="str">
        <x:v>阀门执行</x:v>
      </x:c>
      <x:c r="C21" s="35" t="str">
        <x:v>VX1YHQ.OP</x:v>
      </x:c>
      <x:c r="D21" s="44" t="str">
        <x:v>%</x:v>
      </x:c>
      <x:c r="E21" s="44" t="str">
        <x:v>0-100</x:v>
      </x:c>
      <x:c r="F21" s="36" t="str">
        <x:v>催化裂化液化气自双脱部分来阀门</x:v>
      </x:c>
    </x:row>
    <x:row r="22" ht="25" customHeight="1">
      <x:c r="A22" s="41" t="n">
        <x:v>18</x:v>
      </x:c>
      <x:c r="B22" s="57" t="str">
        <x:v>阀门执行</x:v>
      </x:c>
      <x:c r="C22" s="35" t="str">
        <x:v>VX2YHQ.OP</x:v>
      </x:c>
      <x:c r="D22" s="44" t="str">
        <x:v>%</x:v>
      </x:c>
      <x:c r="E22" s="44" t="str">
        <x:v>0-100</x:v>
      </x:c>
      <x:c r="F22" s="36" t="str">
        <x:v>催化裂化液化气自罐区来阀门</x:v>
      </x:c>
    </x:row>
    <x:row r="23" ht="25" customHeight="1">
      <x:c r="A23" s="41" t="n">
        <x:v>19</x:v>
      </x:c>
      <x:c r="B23" s="57" t="str">
        <x:v>阀门执行</x:v>
      </x:c>
      <x:c r="C23" s="35" t="str">
        <x:v>VX9D101.OP</x:v>
      </x:c>
      <x:c r="D23" s="44" t="str">
        <x:v>%</x:v>
      </x:c>
      <x:c r="E23" s="44" t="str">
        <x:v>0-100</x:v>
      </x:c>
      <x:c r="F23" s="36" t="str">
        <x:v>D101放空阀门</x:v>
      </x:c>
    </x:row>
    <x:row r="24" ht="25" customHeight="1">
      <x:c r="A24" s="41" t="n">
        <x:v>20</x:v>
      </x:c>
      <x:c r="B24" s="57" t="str">
        <x:v>阀门执行</x:v>
      </x:c>
      <x:c r="C24" s="35" t="str">
        <x:v>VX2D101.OP</x:v>
      </x:c>
      <x:c r="D24" s="44" t="str">
        <x:v>%</x:v>
      </x:c>
      <x:c r="E24" s="44" t="str">
        <x:v>0-100</x:v>
      </x:c>
      <x:c r="F24" s="36" t="str">
        <x:v>D101排凝阀门</x:v>
      </x:c>
    </x:row>
    <x:row r="25" ht="25" customHeight="1">
      <x:c r="A25" s="41" t="n">
        <x:v>21</x:v>
      </x:c>
      <x:c r="B25" s="57" t="str">
        <x:v>阀门执行</x:v>
      </x:c>
      <x:c r="C25" s="35" t="str">
        <x:v>VX1P101.OP</x:v>
      </x:c>
      <x:c r="D25" s="44" t="str">
        <x:v>%</x:v>
      </x:c>
      <x:c r="E25" s="44" t="str">
        <x:v>0-100</x:v>
      </x:c>
      <x:c r="F25" s="36" t="str">
        <x:v>C4外甩至罐区阀门</x:v>
      </x:c>
    </x:row>
    <x:row r="26" ht="25" customHeight="1">
      <x:c r="A26" s="41" t="n">
        <x:v>22</x:v>
      </x:c>
      <x:c r="B26" s="57" t="str">
        <x:v>阀门执行</x:v>
      </x:c>
      <x:c r="C26" s="35" t="str">
        <x:v>PSV10101AB.OP</x:v>
      </x:c>
      <x:c r="D26" s="44" t="str">
        <x:v>%</x:v>
      </x:c>
      <x:c r="E26" s="44" t="str">
        <x:v>0-100</x:v>
      </x:c>
      <x:c r="F26" s="36" t="str">
        <x:v>D101安全阀旁通阀门</x:v>
      </x:c>
    </x:row>
    <x:row r="27" ht="25" customHeight="1">
      <x:c r="A27" s="41" t="n">
        <x:v>23</x:v>
      </x:c>
      <x:c r="B27" s="57" t="str">
        <x:v>阀门执行</x:v>
      </x:c>
      <x:c r="C27" s="35" t="str">
        <x:v>LV10101.OP</x:v>
      </x:c>
      <x:c r="D27" s="44" t="str">
        <x:v>%</x:v>
      </x:c>
      <x:c r="E27" s="44" t="str"/>
      <x:c r="F27" s="36" t="str">
        <x:v>D101液位控制阀门</x:v>
      </x:c>
    </x:row>
    <x:row r="28" ht="25" customHeight="1">
      <x:c r="A28" s="41" t="n">
        <x:v>24</x:v>
      </x:c>
      <x:c r="B28" s="57" t="str">
        <x:v>阀门执行</x:v>
      </x:c>
      <x:c r="C28" s="35" t="str">
        <x:v>VX2D101.1</x:v>
      </x:c>
      <x:c r="D28" s="44" t="str">
        <x:v>%</x:v>
      </x:c>
      <x:c r="E28" s="44" t="str">
        <x:v>0-100</x:v>
      </x:c>
      <x:c r="F28" s="36" t="str">
        <x:v>D101排凝阀门</x:v>
      </x:c>
    </x:row>
    <x:row r="29" ht="25" customHeight="1">
      <x:c r="A29" s="41" t="n">
        <x:v>25</x:v>
      </x:c>
      <x:c r="B29" s="60" t="str">
        <x:v>泵电气/状态</x:v>
      </x:c>
      <x:c r="C29" s="35" t="str">
        <x:v>WIP101A.PV</x:v>
      </x:c>
      <x:c r="D29" s="44" t="str">
        <x:v>KW</x:v>
      </x:c>
      <x:c r="E29" s="44" t="str">
        <x:v>0-200</x:v>
      </x:c>
      <x:c r="F29" s="36" t="str">
        <x:v>P101A功率显示</x:v>
      </x:c>
    </x:row>
    <x:row r="30" ht="25" customHeight="1">
      <x:c r="A30" s="41" t="n">
        <x:v>26</x:v>
      </x:c>
      <x:c r="B30" s="60" t="str">
        <x:v>泵电气/状态</x:v>
      </x:c>
      <x:c r="C30" s="35" t="str">
        <x:v>WIP101B.PV</x:v>
      </x:c>
      <x:c r="D30" s="44" t="str">
        <x:v>KW</x:v>
      </x:c>
      <x:c r="E30" s="44" t="str">
        <x:v>0-200</x:v>
      </x:c>
      <x:c r="F30" s="36" t="str">
        <x:v>P101B功率显示</x:v>
      </x:c>
    </x:row>
    <x:row r="31" ht="25" customHeight="1">
      <x:c r="A31" s="41" t="n">
        <x:v>27</x:v>
      </x:c>
      <x:c r="B31" s="60" t="str">
        <x:v>泵电气/状态</x:v>
      </x:c>
      <x:c r="C31" s="35" t="str">
        <x:v>EIP101A.PV</x:v>
      </x:c>
      <x:c r="D31" s="44" t="str">
        <x:v>A</x:v>
      </x:c>
      <x:c r="E31" s="44" t="str">
        <x:v>0-50</x:v>
      </x:c>
      <x:c r="F31" s="36" t="str">
        <x:v>P101A电流显示</x:v>
      </x:c>
    </x:row>
    <x:row r="32" ht="25" customHeight="1">
      <x:c r="A32" s="41" t="n">
        <x:v>28</x:v>
      </x:c>
      <x:c r="B32" s="60" t="str">
        <x:v>泵电气/状态</x:v>
      </x:c>
      <x:c r="C32" s="35" t="str">
        <x:v>EIP101B.PV</x:v>
      </x:c>
      <x:c r="D32" s="44" t="str">
        <x:v>A</x:v>
      </x:c>
      <x:c r="E32" s="44" t="str">
        <x:v>0-50</x:v>
      </x:c>
      <x:c r="F32" s="36" t="str">
        <x:v>P101B电流显示</x:v>
      </x:c>
    </x:row>
    <x:row r="33" ht="25" customHeight="1">
      <x:c r="A33" s="41" t="n">
        <x:v>29</x:v>
      </x:c>
      <x:c r="B33" s="60" t="str">
        <x:v>泵电气/状态</x:v>
      </x:c>
      <x:c r="C33" s="35" t="str">
        <x:v>PSWP101A.OP</x:v>
      </x:c>
      <x:c r="D33" s="44" t="str"/>
      <x:c r="E33" s="44" t="str"/>
      <x:c r="F33" s="36" t="str">
        <x:v>P101A开关</x:v>
      </x:c>
    </x:row>
    <x:row r="34" ht="25" customHeight="1">
      <x:c r="A34" s="41" t="n">
        <x:v>30</x:v>
      </x:c>
      <x:c r="B34" s="60" t="str">
        <x:v>泵电气/状态</x:v>
      </x:c>
      <x:c r="C34" s="35" t="str">
        <x:v>PSWP101B.OP</x:v>
      </x:c>
      <x:c r="D34" s="44" t="str"/>
      <x:c r="E34" s="44" t="str"/>
      <x:c r="F34" s="36" t="str">
        <x:v>P101B开关</x:v>
      </x:c>
    </x:row>
    <x:row r="35" ht="25" customHeight="1">
      <x:c r="A35" s="41" t="n">
        <x:v>31</x:v>
      </x:c>
      <x:c r="B35" s="63" t="str">
        <x:v>异常指标</x:v>
      </x:c>
      <x:c r="C35" s="35" t="str">
        <x:v>DS.PV</x:v>
      </x:c>
      <x:c r="D35" s="44" t="str">
        <x:v>%</x:v>
      </x:c>
      <x:c r="E35" s="44" t="str">
        <x:v>0-100</x:v>
      </x:c>
      <x:c r="F35" s="36" t="str">
        <x:v>离心泵入口过滤器堵塞程度</x:v>
      </x:c>
    </x:row>
    <x:row r="36" ht="25" customHeight="1">
      <x:c r="A36" s="41" t="n">
        <x:v>32</x:v>
      </x:c>
      <x:c r="B36" s="63" t="str">
        <x:v>异常指标</x:v>
      </x:c>
      <x:c r="C36" s="35" t="str">
        <x:v>XL.PV</x:v>
      </x:c>
      <x:c r="D36" s="44" t="str">
        <x:v>%</x:v>
      </x:c>
      <x:c r="E36" s="44" t="str">
        <x:v>0-100</x:v>
      </x:c>
      <x:c r="F36" s="36" t="str">
        <x:v>离心泵输送介质泄漏程度</x:v>
      </x:c>
    </x:row>
    <x:row r="37" ht="25" customHeight="1">
      <x:c r="A37" s="41" t="n">
        <x:v>33</x:v>
      </x:c>
      <x:c r="B37" s="66" t="str">
        <x:v>控制参数</x:v>
      </x:c>
      <x:c r="C37" s="35" t="str">
        <x:v>FIC10101.K</x:v>
      </x:c>
      <x:c r="D37" s="44" t="str"/>
      <x:c r="E37" s="44" t="str"/>
      <x:c r="F37" s="36" t="str">
        <x:v>出料流量控制器比例增益</x:v>
      </x:c>
    </x:row>
    <x:row r="38" ht="25" customHeight="1">
      <x:c r="A38" s="41" t="n">
        <x:v>34</x:v>
      </x:c>
      <x:c r="B38" s="66" t="str">
        <x:v>控制参数</x:v>
      </x:c>
      <x:c r="C38" s="35" t="str">
        <x:v>FIC10101.T1</x:v>
      </x:c>
      <x:c r="D38" s="44" t="str"/>
      <x:c r="E38" s="44" t="str"/>
      <x:c r="F38" s="36" t="str">
        <x:v>出料流量控制器积分时间</x:v>
      </x:c>
    </x:row>
    <x:row r="39" ht="25" customHeight="1">
      <x:c r="A39" s="41" t="n">
        <x:v>35</x:v>
      </x:c>
      <x:c r="B39" s="66" t="str">
        <x:v>控制参数</x:v>
      </x:c>
      <x:c r="C39" s="35" t="str">
        <x:v>FIC10101.T2</x:v>
      </x:c>
      <x:c r="D39" s="44" t="str"/>
      <x:c r="E39" s="44" t="str"/>
      <x:c r="F39" s="36" t="str">
        <x:v>出料流量控制器微分时间</x:v>
      </x:c>
    </x:row>
    <x:row r="40" ht="25" customHeight="1">
      <x:c r="A40" s="41" t="n">
        <x:v>36</x:v>
      </x:c>
      <x:c r="B40" s="66" t="str">
        <x:v>控制参数</x:v>
      </x:c>
      <x:c r="C40" s="35" t="str">
        <x:v>LIC10101.K</x:v>
      </x:c>
      <x:c r="D40" s="44" t="str"/>
      <x:c r="E40" s="44" t="str"/>
      <x:c r="F40" s="36" t="str">
        <x:v>D101液位控制器比例增益</x:v>
      </x:c>
    </x:row>
    <x:row r="41" ht="25" customHeight="1">
      <x:c r="A41" s="41" t="n">
        <x:v>37</x:v>
      </x:c>
      <x:c r="B41" s="66" t="str">
        <x:v>控制参数</x:v>
      </x:c>
      <x:c r="C41" s="35" t="str">
        <x:v>LIC10101.T1</x:v>
      </x:c>
      <x:c r="D41" s="44" t="str"/>
      <x:c r="E41" s="44" t="str"/>
      <x:c r="F41" s="36" t="str">
        <x:v>D101液位控制器积分时间</x:v>
      </x:c>
    </x:row>
    <x:row r="42" ht="25" customHeight="1">
      <x:c r="A42" s="42" t="n">
        <x:v>38</x:v>
      </x:c>
      <x:c r="B42" s="69" t="str">
        <x:v>控制参数</x:v>
      </x:c>
      <x:c r="C42" s="38" t="str">
        <x:v>LIC10101.T2</x:v>
      </x:c>
      <x:c r="D42" s="45" t="str"/>
      <x:c r="E42" s="45" t="str"/>
      <x:c r="F42" s="39" t="str">
        <x:v>D101液位控制器微分时间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6df854788cea409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4" hidden="0" customWidth="1"/>
    <x:col min="3" max="3" width="10" hidden="0" customWidth="1"/>
    <x:col min="4" max="4" width="17" hidden="0" customWidth="1"/>
    <x:col min="5" max="5" width="15" hidden="0" customWidth="1"/>
    <x:col min="6" max="6" width="9" hidden="0" customWidth="1"/>
    <x:col min="7" max="7" width="11" hidden="0" customWidth="1"/>
    <x:col min="8" max="8" width="36" hidden="0" customWidth="1"/>
    <x:col min="9" max="9" width="30" hidden="0" customWidth="1"/>
  </x:cols>
  <x:sheetData>
    <x:row r="1" ht="28" customHeight="1">
      <x:c r="A1" s="4" t="str">
        <x:v>离心泵故障与关联点位对应表</x:v>
      </x:c>
      <x:c r="B1" s="4"/>
      <x:c r="C1" s="4"/>
      <x:c r="D1" s="4"/>
      <x:c r="E1" s="4"/>
      <x:c r="F1" s="4"/>
      <x:c r="G1" s="4"/>
      <x:c r="H1" s="4"/>
      <x:c r="I1" s="4"/>
    </x:row>
    <x:row r="2" ht="24" customHeight="1">
      <x:c r="A2" s="7" t="str">
        <x:v>同一核心点位可被多个故障共用，区别主要体现在特异点位、变化方向和组合关系</x:v>
      </x:c>
      <x:c r="B2" s="7"/>
      <x:c r="C2" s="7"/>
      <x:c r="D2" s="7"/>
      <x:c r="E2" s="7"/>
      <x:c r="F2" s="7"/>
      <x:c r="G2" s="7"/>
      <x:c r="H2" s="7"/>
      <x:c r="I2" s="7"/>
    </x:row>
    <x:row r="4">
      <x:c r="A4" s="12" t="str">
        <x:v>序号</x:v>
      </x:c>
      <x:c r="B4" s="12" t="str">
        <x:v>故障类型</x:v>
      </x:c>
      <x:c r="C4" s="12" t="str">
        <x:v>点位数</x:v>
      </x:c>
      <x:c r="D4" s="12" t="str">
        <x:v>点位</x:v>
      </x:c>
      <x:c r="E4" s="12" t="str">
        <x:v>门类</x:v>
      </x:c>
      <x:c r="F4" s="12" t="str">
        <x:v>单位</x:v>
      </x:c>
      <x:c r="G4" s="12" t="str">
        <x:v>量程</x:v>
      </x:c>
      <x:c r="H4" s="12" t="str">
        <x:v>点位说明</x:v>
      </x:c>
      <x:c r="I4" s="12" t="str">
        <x:v>判断侧重点</x:v>
      </x:c>
    </x:row>
    <x:row r="5" ht="26" customHeight="1">
      <x:c r="A5" s="40" t="n">
        <x:v>1</x:v>
      </x:c>
      <x:c r="B5" s="71" t="str">
        <x:v>汽蚀</x:v>
      </x:c>
      <x:c r="C5" s="43" t="n">
        <x:v>4</x:v>
      </x:c>
      <x:c r="D5" s="32" t="str">
        <x:v>PI10105.PV</x:v>
      </x:c>
      <x:c r="E5" s="48" t="str">
        <x:v>过程测量</x:v>
      </x:c>
      <x:c r="F5" s="43" t="str">
        <x:v>MPa</x:v>
      </x:c>
      <x:c r="G5" s="43" t="str"/>
      <x:c r="H5" s="32" t="str">
        <x:v>催化裂化液化气自双脱部分来压力显示</x:v>
      </x:c>
      <x:c r="I5" s="33" t="str">
        <x:v>入口压力偏低</x:v>
      </x:c>
    </x:row>
    <x:row r="6" ht="26" customHeight="1">
      <x:c r="A6" s="41" t="n">
        <x:v>2</x:v>
      </x:c>
      <x:c r="B6" s="63" t="str">
        <x:v>汽蚀</x:v>
      </x:c>
      <x:c r="C6" s="44" t="str"/>
      <x:c r="D6" s="35" t="str">
        <x:v>FI10501J.PV</x:v>
      </x:c>
      <x:c r="E6" s="51" t="str">
        <x:v>过程测量</x:v>
      </x:c>
      <x:c r="F6" s="44" t="str">
        <x:v>t/h</x:v>
      </x:c>
      <x:c r="G6" s="44" t="str">
        <x:v>0-100</x:v>
      </x:c>
      <x:c r="H6" s="35" t="str">
        <x:v>催化裂化液化气自双脱部分来流量显示</x:v>
      </x:c>
      <x:c r="I6" s="36" t="str">
        <x:v>流量下降或波动</x:v>
      </x:c>
    </x:row>
    <x:row r="7" ht="26" customHeight="1">
      <x:c r="A7" s="41" t="n">
        <x:v>3</x:v>
      </x:c>
      <x:c r="B7" s="63" t="str">
        <x:v>汽蚀</x:v>
      </x:c>
      <x:c r="C7" s="44" t="str"/>
      <x:c r="D7" s="35" t="str">
        <x:v>PIP101A1.PV</x:v>
      </x:c>
      <x:c r="E7" s="51" t="str">
        <x:v>过程测量</x:v>
      </x:c>
      <x:c r="F7" s="44" t="str">
        <x:v>MPa</x:v>
      </x:c>
      <x:c r="G7" s="44" t="str">
        <x:v>0-5</x:v>
      </x:c>
      <x:c r="H7" s="35" t="str">
        <x:v>P101A出口压力显示</x:v>
      </x:c>
      <x:c r="I7" s="36" t="str">
        <x:v>出口压力波动</x:v>
      </x:c>
    </x:row>
    <x:row r="8" ht="26" customHeight="1">
      <x:c r="A8" s="41" t="n">
        <x:v>4</x:v>
      </x:c>
      <x:c r="B8" s="63" t="str">
        <x:v>汽蚀</x:v>
      </x:c>
      <x:c r="C8" s="44" t="str"/>
      <x:c r="D8" s="35" t="str">
        <x:v>EIP101A.PV</x:v>
      </x:c>
      <x:c r="E8" s="60" t="str">
        <x:v>泵电气/状态</x:v>
      </x:c>
      <x:c r="F8" s="44" t="str">
        <x:v>A</x:v>
      </x:c>
      <x:c r="G8" s="44" t="str">
        <x:v>0-50</x:v>
      </x:c>
      <x:c r="H8" s="35" t="str">
        <x:v>P101A电流显示</x:v>
      </x:c>
      <x:c r="I8" s="36" t="str">
        <x:v>负载波动</x:v>
      </x:c>
    </x:row>
    <x:row r="9" ht="26" customHeight="1">
      <x:c r="A9" s="41" t="n">
        <x:v>5</x:v>
      </x:c>
      <x:c r="B9" s="57" t="str">
        <x:v>气缚</x:v>
      </x:c>
      <x:c r="C9" s="44" t="n">
        <x:v>4</x:v>
      </x:c>
      <x:c r="D9" s="35" t="str">
        <x:v>FI10501J.PV</x:v>
      </x:c>
      <x:c r="E9" s="51" t="str">
        <x:v>过程测量</x:v>
      </x:c>
      <x:c r="F9" s="44" t="str">
        <x:v>t/h</x:v>
      </x:c>
      <x:c r="G9" s="44" t="str">
        <x:v>0-100</x:v>
      </x:c>
      <x:c r="H9" s="35" t="str">
        <x:v>催化裂化液化气自双脱部分来流量显示</x:v>
      </x:c>
      <x:c r="I9" s="36" t="str">
        <x:v>有效流量明显下降</x:v>
      </x:c>
    </x:row>
    <x:row r="10" ht="26" customHeight="1">
      <x:c r="A10" s="41" t="n">
        <x:v>6</x:v>
      </x:c>
      <x:c r="B10" s="57" t="str">
        <x:v>气缚</x:v>
      </x:c>
      <x:c r="C10" s="44" t="str"/>
      <x:c r="D10" s="35" t="str">
        <x:v>PIP101A1.PV</x:v>
      </x:c>
      <x:c r="E10" s="51" t="str">
        <x:v>过程测量</x:v>
      </x:c>
      <x:c r="F10" s="44" t="str">
        <x:v>MPa</x:v>
      </x:c>
      <x:c r="G10" s="44" t="str">
        <x:v>0-5</x:v>
      </x:c>
      <x:c r="H10" s="35" t="str">
        <x:v>P101A出口压力显示</x:v>
      </x:c>
      <x:c r="I10" s="36" t="str">
        <x:v>出口压力难以建立</x:v>
      </x:c>
    </x:row>
    <x:row r="11" ht="26" customHeight="1">
      <x:c r="A11" s="41" t="n">
        <x:v>7</x:v>
      </x:c>
      <x:c r="B11" s="57" t="str">
        <x:v>气缚</x:v>
      </x:c>
      <x:c r="C11" s="44" t="str"/>
      <x:c r="D11" s="35" t="str">
        <x:v>EIP101A.PV</x:v>
      </x:c>
      <x:c r="E11" s="60" t="str">
        <x:v>泵电气/状态</x:v>
      </x:c>
      <x:c r="F11" s="44" t="str">
        <x:v>A</x:v>
      </x:c>
      <x:c r="G11" s="44" t="str">
        <x:v>0-50</x:v>
      </x:c>
      <x:c r="H11" s="35" t="str">
        <x:v>P101A电流显示</x:v>
      </x:c>
      <x:c r="I11" s="36" t="str">
        <x:v>电流偏低或波动</x:v>
      </x:c>
    </x:row>
    <x:row r="12" ht="26" customHeight="1">
      <x:c r="A12" s="41" t="n">
        <x:v>8</x:v>
      </x:c>
      <x:c r="B12" s="57" t="str">
        <x:v>气缚</x:v>
      </x:c>
      <x:c r="C12" s="44" t="str"/>
      <x:c r="D12" s="35" t="str">
        <x:v>WIP101A.PV</x:v>
      </x:c>
      <x:c r="E12" s="60" t="str">
        <x:v>泵电气/状态</x:v>
      </x:c>
      <x:c r="F12" s="44" t="str">
        <x:v>KW</x:v>
      </x:c>
      <x:c r="G12" s="44" t="str">
        <x:v>0-200</x:v>
      </x:c>
      <x:c r="H12" s="35" t="str">
        <x:v>P101A功率显示</x:v>
      </x:c>
      <x:c r="I12" s="36" t="str">
        <x:v>功率下降</x:v>
      </x:c>
    </x:row>
    <x:row r="13" ht="26" customHeight="1">
      <x:c r="A13" s="41" t="n">
        <x:v>9</x:v>
      </x:c>
      <x:c r="B13" s="54" t="str">
        <x:v>叶轮故障</x:v>
      </x:c>
      <x:c r="C13" s="44" t="n">
        <x:v>4</x:v>
      </x:c>
      <x:c r="D13" s="35" t="str">
        <x:v>FI10501J.PV</x:v>
      </x:c>
      <x:c r="E13" s="51" t="str">
        <x:v>过程测量</x:v>
      </x:c>
      <x:c r="F13" s="44" t="str">
        <x:v>t/h</x:v>
      </x:c>
      <x:c r="G13" s="44" t="str">
        <x:v>0-100</x:v>
      </x:c>
      <x:c r="H13" s="35" t="str">
        <x:v>催化裂化液化气自双脱部分来流量显示</x:v>
      </x:c>
      <x:c r="I13" s="36" t="str">
        <x:v>输送能力下降</x:v>
      </x:c>
    </x:row>
    <x:row r="14" ht="26" customHeight="1">
      <x:c r="A14" s="41" t="n">
        <x:v>10</x:v>
      </x:c>
      <x:c r="B14" s="54" t="str">
        <x:v>叶轮故障</x:v>
      </x:c>
      <x:c r="C14" s="44" t="str"/>
      <x:c r="D14" s="35" t="str">
        <x:v>PIP101A1.PV</x:v>
      </x:c>
      <x:c r="E14" s="51" t="str">
        <x:v>过程测量</x:v>
      </x:c>
      <x:c r="F14" s="44" t="str">
        <x:v>MPa</x:v>
      </x:c>
      <x:c r="G14" s="44" t="str">
        <x:v>0-5</x:v>
      </x:c>
      <x:c r="H14" s="35" t="str">
        <x:v>P101A出口压力显示</x:v>
      </x:c>
      <x:c r="I14" s="36" t="str">
        <x:v>出口压力下降</x:v>
      </x:c>
    </x:row>
    <x:row r="15" ht="26" customHeight="1">
      <x:c r="A15" s="41" t="n">
        <x:v>11</x:v>
      </x:c>
      <x:c r="B15" s="54" t="str">
        <x:v>叶轮故障</x:v>
      </x:c>
      <x:c r="C15" s="44" t="str"/>
      <x:c r="D15" s="35" t="str">
        <x:v>EIP101A.PV</x:v>
      </x:c>
      <x:c r="E15" s="60" t="str">
        <x:v>泵电气/状态</x:v>
      </x:c>
      <x:c r="F15" s="44" t="str">
        <x:v>A</x:v>
      </x:c>
      <x:c r="G15" s="44" t="str">
        <x:v>0-50</x:v>
      </x:c>
      <x:c r="H15" s="35" t="str">
        <x:v>P101A电流显示</x:v>
      </x:c>
      <x:c r="I15" s="36" t="str">
        <x:v>负载异常</x:v>
      </x:c>
    </x:row>
    <x:row r="16" ht="26" customHeight="1">
      <x:c r="A16" s="41" t="n">
        <x:v>12</x:v>
      </x:c>
      <x:c r="B16" s="54" t="str">
        <x:v>叶轮故障</x:v>
      </x:c>
      <x:c r="C16" s="44" t="str"/>
      <x:c r="D16" s="35" t="str">
        <x:v>WIP101A.PV</x:v>
      </x:c>
      <x:c r="E16" s="60" t="str">
        <x:v>泵电气/状态</x:v>
      </x:c>
      <x:c r="F16" s="44" t="str">
        <x:v>KW</x:v>
      </x:c>
      <x:c r="G16" s="44" t="str">
        <x:v>0-200</x:v>
      </x:c>
      <x:c r="H16" s="35" t="str">
        <x:v>P101A功率显示</x:v>
      </x:c>
      <x:c r="I16" s="36" t="str">
        <x:v>做功能力变化</x:v>
      </x:c>
    </x:row>
    <x:row r="17" ht="26" customHeight="1">
      <x:c r="A17" s="41" t="n">
        <x:v>13</x:v>
      </x:c>
      <x:c r="B17" s="76" t="str">
        <x:v>口环磨损</x:v>
      </x:c>
      <x:c r="C17" s="44" t="n">
        <x:v>4</x:v>
      </x:c>
      <x:c r="D17" s="35" t="str">
        <x:v>FI10501J.PV</x:v>
      </x:c>
      <x:c r="E17" s="51" t="str">
        <x:v>过程测量</x:v>
      </x:c>
      <x:c r="F17" s="44" t="str">
        <x:v>t/h</x:v>
      </x:c>
      <x:c r="G17" s="44" t="str">
        <x:v>0-100</x:v>
      </x:c>
      <x:c r="H17" s="35" t="str">
        <x:v>催化裂化液化气自双脱部分来流量显示</x:v>
      </x:c>
      <x:c r="I17" s="36" t="str">
        <x:v>流量缓慢下降</x:v>
      </x:c>
    </x:row>
    <x:row r="18" ht="26" customHeight="1">
      <x:c r="A18" s="41" t="n">
        <x:v>14</x:v>
      </x:c>
      <x:c r="B18" s="76" t="str">
        <x:v>口环磨损</x:v>
      </x:c>
      <x:c r="C18" s="44" t="str"/>
      <x:c r="D18" s="35" t="str">
        <x:v>PIP101A1.PV</x:v>
      </x:c>
      <x:c r="E18" s="51" t="str">
        <x:v>过程测量</x:v>
      </x:c>
      <x:c r="F18" s="44" t="str">
        <x:v>MPa</x:v>
      </x:c>
      <x:c r="G18" s="44" t="str">
        <x:v>0-5</x:v>
      </x:c>
      <x:c r="H18" s="35" t="str">
        <x:v>P101A出口压力显示</x:v>
      </x:c>
      <x:c r="I18" s="36" t="str">
        <x:v>出口压力缓慢下降</x:v>
      </x:c>
    </x:row>
    <x:row r="19" ht="26" customHeight="1">
      <x:c r="A19" s="41" t="n">
        <x:v>15</x:v>
      </x:c>
      <x:c r="B19" s="76" t="str">
        <x:v>口环磨损</x:v>
      </x:c>
      <x:c r="C19" s="44" t="str"/>
      <x:c r="D19" s="35" t="str">
        <x:v>EIP101A.PV</x:v>
      </x:c>
      <x:c r="E19" s="60" t="str">
        <x:v>泵电气/状态</x:v>
      </x:c>
      <x:c r="F19" s="44" t="str">
        <x:v>A</x:v>
      </x:c>
      <x:c r="G19" s="44" t="str">
        <x:v>0-50</x:v>
      </x:c>
      <x:c r="H19" s="35" t="str">
        <x:v>P101A电流显示</x:v>
      </x:c>
      <x:c r="I19" s="36" t="str">
        <x:v>电流变化较温和</x:v>
      </x:c>
    </x:row>
    <x:row r="20" ht="26" customHeight="1">
      <x:c r="A20" s="41" t="n">
        <x:v>16</x:v>
      </x:c>
      <x:c r="B20" s="76" t="str">
        <x:v>口环磨损</x:v>
      </x:c>
      <x:c r="C20" s="44" t="str"/>
      <x:c r="D20" s="35" t="str">
        <x:v>WIP101A.PV</x:v>
      </x:c>
      <x:c r="E20" s="60" t="str">
        <x:v>泵电气/状态</x:v>
      </x:c>
      <x:c r="F20" s="44" t="str">
        <x:v>KW</x:v>
      </x:c>
      <x:c r="G20" s="44" t="str">
        <x:v>0-200</x:v>
      </x:c>
      <x:c r="H20" s="35" t="str">
        <x:v>P101A功率显示</x:v>
      </x:c>
      <x:c r="I20" s="36" t="str">
        <x:v>功率辅助判断</x:v>
      </x:c>
    </x:row>
    <x:row r="21" ht="26" customHeight="1">
      <x:c r="A21" s="41" t="n">
        <x:v>17</x:v>
      </x:c>
      <x:c r="B21" s="78" t="str">
        <x:v>轴封泄漏</x:v>
      </x:c>
      <x:c r="C21" s="44" t="n">
        <x:v>4</x:v>
      </x:c>
      <x:c r="D21" s="35" t="str">
        <x:v>XL.PV</x:v>
      </x:c>
      <x:c r="E21" s="63" t="str">
        <x:v>异常指标</x:v>
      </x:c>
      <x:c r="F21" s="44" t="str">
        <x:v>%</x:v>
      </x:c>
      <x:c r="G21" s="44" t="str">
        <x:v>0-100</x:v>
      </x:c>
      <x:c r="H21" s="35" t="str">
        <x:v>离心泵输送介质泄漏程度</x:v>
      </x:c>
      <x:c r="I21" s="36" t="str">
        <x:v>泄漏特异指标</x:v>
      </x:c>
    </x:row>
    <x:row r="22" ht="26" customHeight="1">
      <x:c r="A22" s="41" t="n">
        <x:v>18</x:v>
      </x:c>
      <x:c r="B22" s="78" t="str">
        <x:v>轴封泄漏</x:v>
      </x:c>
      <x:c r="C22" s="44" t="str"/>
      <x:c r="D22" s="35" t="str">
        <x:v>FI10501J.PV</x:v>
      </x:c>
      <x:c r="E22" s="51" t="str">
        <x:v>过程测量</x:v>
      </x:c>
      <x:c r="F22" s="44" t="str">
        <x:v>t/h</x:v>
      </x:c>
      <x:c r="G22" s="44" t="str">
        <x:v>0-100</x:v>
      </x:c>
      <x:c r="H22" s="35" t="str">
        <x:v>催化裂化液化气自双脱部分来流量显示</x:v>
      </x:c>
      <x:c r="I22" s="36" t="str">
        <x:v>有效流量降低</x:v>
      </x:c>
    </x:row>
    <x:row r="23" ht="26" customHeight="1">
      <x:c r="A23" s="41" t="n">
        <x:v>19</x:v>
      </x:c>
      <x:c r="B23" s="78" t="str">
        <x:v>轴封泄漏</x:v>
      </x:c>
      <x:c r="C23" s="44" t="str"/>
      <x:c r="D23" s="35" t="str">
        <x:v>PIP101A1.PV</x:v>
      </x:c>
      <x:c r="E23" s="51" t="str">
        <x:v>过程测量</x:v>
      </x:c>
      <x:c r="F23" s="44" t="str">
        <x:v>MPa</x:v>
      </x:c>
      <x:c r="G23" s="44" t="str">
        <x:v>0-5</x:v>
      </x:c>
      <x:c r="H23" s="35" t="str">
        <x:v>P101A出口压力显示</x:v>
      </x:c>
      <x:c r="I23" s="36" t="str">
        <x:v>出口压力可能下降</x:v>
      </x:c>
    </x:row>
    <x:row r="24" ht="26" customHeight="1">
      <x:c r="A24" s="41" t="n">
        <x:v>20</x:v>
      </x:c>
      <x:c r="B24" s="78" t="str">
        <x:v>轴封泄漏</x:v>
      </x:c>
      <x:c r="C24" s="44" t="str"/>
      <x:c r="D24" s="35" t="str">
        <x:v>LIC10101.PV</x:v>
      </x:c>
      <x:c r="E24" s="54" t="str">
        <x:v>控制回路</x:v>
      </x:c>
      <x:c r="F24" s="44" t="str">
        <x:v>%</x:v>
      </x:c>
      <x:c r="G24" s="44" t="str">
        <x:v>0-100</x:v>
      </x:c>
      <x:c r="H24" s="35" t="str">
        <x:v>D101液位控制显示</x:v>
      </x:c>
      <x:c r="I24" s="36" t="str">
        <x:v>液位变化辅助判断</x:v>
      </x:c>
    </x:row>
    <x:row r="25" ht="26" customHeight="1">
      <x:c r="A25" s="41" t="n">
        <x:v>21</x:v>
      </x:c>
      <x:c r="B25" s="80" t="str">
        <x:v>轴承故障</x:v>
      </x:c>
      <x:c r="C25" s="44" t="n">
        <x:v>4</x:v>
      </x:c>
      <x:c r="D25" s="35" t="str">
        <x:v>EIP101A.PV</x:v>
      </x:c>
      <x:c r="E25" s="60" t="str">
        <x:v>泵电气/状态</x:v>
      </x:c>
      <x:c r="F25" s="44" t="str">
        <x:v>A</x:v>
      </x:c>
      <x:c r="G25" s="44" t="str">
        <x:v>0-50</x:v>
      </x:c>
      <x:c r="H25" s="35" t="str">
        <x:v>P101A电流显示</x:v>
      </x:c>
      <x:c r="I25" s="36" t="str">
        <x:v>摩擦增大，电流异常</x:v>
      </x:c>
    </x:row>
    <x:row r="26" ht="26" customHeight="1">
      <x:c r="A26" s="41" t="n">
        <x:v>22</x:v>
      </x:c>
      <x:c r="B26" s="80" t="str">
        <x:v>轴承故障</x:v>
      </x:c>
      <x:c r="C26" s="44" t="str"/>
      <x:c r="D26" s="35" t="str">
        <x:v>WIP101A.PV</x:v>
      </x:c>
      <x:c r="E26" s="60" t="str">
        <x:v>泵电气/状态</x:v>
      </x:c>
      <x:c r="F26" s="44" t="str">
        <x:v>KW</x:v>
      </x:c>
      <x:c r="G26" s="44" t="str">
        <x:v>0-200</x:v>
      </x:c>
      <x:c r="H26" s="35" t="str">
        <x:v>P101A功率显示</x:v>
      </x:c>
      <x:c r="I26" s="36" t="str">
        <x:v>功率异常</x:v>
      </x:c>
    </x:row>
    <x:row r="27" ht="26" customHeight="1">
      <x:c r="A27" s="41" t="n">
        <x:v>23</x:v>
      </x:c>
      <x:c r="B27" s="80" t="str">
        <x:v>轴承故障</x:v>
      </x:c>
      <x:c r="C27" s="44" t="str"/>
      <x:c r="D27" s="35" t="str">
        <x:v>FI10501J.PV</x:v>
      </x:c>
      <x:c r="E27" s="51" t="str">
        <x:v>过程测量</x:v>
      </x:c>
      <x:c r="F27" s="44" t="str">
        <x:v>t/h</x:v>
      </x:c>
      <x:c r="G27" s="44" t="str">
        <x:v>0-100</x:v>
      </x:c>
      <x:c r="H27" s="35" t="str">
        <x:v>催化裂化液化气自双脱部分来流量显示</x:v>
      </x:c>
      <x:c r="I27" s="36" t="str">
        <x:v>判断是否已影响输送</x:v>
      </x:c>
    </x:row>
    <x:row r="28" ht="26" customHeight="1">
      <x:c r="A28" s="41" t="n">
        <x:v>24</x:v>
      </x:c>
      <x:c r="B28" s="80" t="str">
        <x:v>轴承故障</x:v>
      </x:c>
      <x:c r="C28" s="44" t="str"/>
      <x:c r="D28" s="35" t="str">
        <x:v>PIP101A1.PV</x:v>
      </x:c>
      <x:c r="E28" s="51" t="str">
        <x:v>过程测量</x:v>
      </x:c>
      <x:c r="F28" s="44" t="str">
        <x:v>MPa</x:v>
      </x:c>
      <x:c r="G28" s="44" t="str">
        <x:v>0-5</x:v>
      </x:c>
      <x:c r="H28" s="35" t="str">
        <x:v>P101A出口压力显示</x:v>
      </x:c>
      <x:c r="I28" s="36" t="str">
        <x:v>判断是否已影响出口压力</x:v>
      </x:c>
    </x:row>
    <x:row r="29" ht="26" customHeight="1">
      <x:c r="A29" s="41" t="n">
        <x:v>25</x:v>
      </x:c>
      <x:c r="B29" s="51" t="str">
        <x:v>吸入侧堵塞</x:v>
      </x:c>
      <x:c r="C29" s="44" t="n">
        <x:v>5</x:v>
      </x:c>
      <x:c r="D29" s="35" t="str">
        <x:v>DS.PV</x:v>
      </x:c>
      <x:c r="E29" s="63" t="str">
        <x:v>异常指标</x:v>
      </x:c>
      <x:c r="F29" s="44" t="str">
        <x:v>%</x:v>
      </x:c>
      <x:c r="G29" s="44" t="str">
        <x:v>0-100</x:v>
      </x:c>
      <x:c r="H29" s="35" t="str">
        <x:v>离心泵入口过滤器堵塞程度</x:v>
      </x:c>
      <x:c r="I29" s="36" t="str">
        <x:v>堵塞特异指标</x:v>
      </x:c>
    </x:row>
    <x:row r="30" ht="26" customHeight="1">
      <x:c r="A30" s="41" t="n">
        <x:v>26</x:v>
      </x:c>
      <x:c r="B30" s="51" t="str">
        <x:v>吸入侧堵塞</x:v>
      </x:c>
      <x:c r="C30" s="44" t="str"/>
      <x:c r="D30" s="35" t="str">
        <x:v>PI10105.PV</x:v>
      </x:c>
      <x:c r="E30" s="51" t="str">
        <x:v>过程测量</x:v>
      </x:c>
      <x:c r="F30" s="44" t="str">
        <x:v>MPa</x:v>
      </x:c>
      <x:c r="G30" s="44" t="str"/>
      <x:c r="H30" s="35" t="str">
        <x:v>催化裂化液化气自双脱部分来压力显示</x:v>
      </x:c>
      <x:c r="I30" s="36" t="str">
        <x:v>入口压力下降</x:v>
      </x:c>
    </x:row>
    <x:row r="31" ht="26" customHeight="1">
      <x:c r="A31" s="41" t="n">
        <x:v>27</x:v>
      </x:c>
      <x:c r="B31" s="51" t="str">
        <x:v>吸入侧堵塞</x:v>
      </x:c>
      <x:c r="C31" s="44" t="str"/>
      <x:c r="D31" s="35" t="str">
        <x:v>FI10501J.PV</x:v>
      </x:c>
      <x:c r="E31" s="51" t="str">
        <x:v>过程测量</x:v>
      </x:c>
      <x:c r="F31" s="44" t="str">
        <x:v>t/h</x:v>
      </x:c>
      <x:c r="G31" s="44" t="str">
        <x:v>0-100</x:v>
      </x:c>
      <x:c r="H31" s="35" t="str">
        <x:v>催化裂化液化气自双脱部分来流量显示</x:v>
      </x:c>
      <x:c r="I31" s="36" t="str">
        <x:v>流量下降</x:v>
      </x:c>
    </x:row>
    <x:row r="32" ht="26" customHeight="1">
      <x:c r="A32" s="41" t="n">
        <x:v>28</x:v>
      </x:c>
      <x:c r="B32" s="51" t="str">
        <x:v>吸入侧堵塞</x:v>
      </x:c>
      <x:c r="C32" s="44" t="str"/>
      <x:c r="D32" s="35" t="str">
        <x:v>VX1YHQ.OP</x:v>
      </x:c>
      <x:c r="E32" s="57" t="str">
        <x:v>阀门执行</x:v>
      </x:c>
      <x:c r="F32" s="44" t="str">
        <x:v>%</x:v>
      </x:c>
      <x:c r="G32" s="44" t="str">
        <x:v>0-100</x:v>
      </x:c>
      <x:c r="H32" s="35" t="str">
        <x:v>催化裂化液化气自双脱部分来阀门</x:v>
      </x:c>
      <x:c r="I32" s="36" t="str">
        <x:v>排查入口阀门因素</x:v>
      </x:c>
    </x:row>
    <x:row r="33" ht="26" customHeight="1">
      <x:c r="A33" s="41" t="n">
        <x:v>29</x:v>
      </x:c>
      <x:c r="B33" s="51" t="str">
        <x:v>吸入侧堵塞</x:v>
      </x:c>
      <x:c r="C33" s="44" t="str"/>
      <x:c r="D33" s="35" t="str">
        <x:v>EIP101A.PV</x:v>
      </x:c>
      <x:c r="E33" s="60" t="str">
        <x:v>泵电气/状态</x:v>
      </x:c>
      <x:c r="F33" s="44" t="str">
        <x:v>A</x:v>
      </x:c>
      <x:c r="G33" s="44" t="str">
        <x:v>0-50</x:v>
      </x:c>
      <x:c r="H33" s="35" t="str">
        <x:v>P101A电流显示</x:v>
      </x:c>
      <x:c r="I33" s="36" t="str">
        <x:v>负载减小或波动</x:v>
      </x:c>
    </x:row>
    <x:row r="34" ht="26" customHeight="1">
      <x:c r="A34" s="41" t="n">
        <x:v>30</x:v>
      </x:c>
      <x:c r="B34" s="83" t="str">
        <x:v>排出侧堵塞</x:v>
      </x:c>
      <x:c r="C34" s="44" t="n">
        <x:v>5</x:v>
      </x:c>
      <x:c r="D34" s="35" t="str">
        <x:v>PIP101A1.PV</x:v>
      </x:c>
      <x:c r="E34" s="51" t="str">
        <x:v>过程测量</x:v>
      </x:c>
      <x:c r="F34" s="44" t="str">
        <x:v>MPa</x:v>
      </x:c>
      <x:c r="G34" s="44" t="str">
        <x:v>0-5</x:v>
      </x:c>
      <x:c r="H34" s="35" t="str">
        <x:v>P101A出口压力显示</x:v>
      </x:c>
      <x:c r="I34" s="36" t="str">
        <x:v>出口压力升高</x:v>
      </x:c>
    </x:row>
    <x:row r="35" ht="26" customHeight="1">
      <x:c r="A35" s="41" t="n">
        <x:v>31</x:v>
      </x:c>
      <x:c r="B35" s="83" t="str">
        <x:v>排出侧堵塞</x:v>
      </x:c>
      <x:c r="C35" s="44" t="str"/>
      <x:c r="D35" s="35" t="str">
        <x:v>FIC10101.PV</x:v>
      </x:c>
      <x:c r="E35" s="51" t="str">
        <x:v>过程测量</x:v>
      </x:c>
      <x:c r="F35" s="44" t="str">
        <x:v>t/h</x:v>
      </x:c>
      <x:c r="G35" s="44" t="str">
        <x:v>0-180</x:v>
      </x:c>
      <x:c r="H35" s="35" t="str">
        <x:v>出料流量控制显示</x:v>
      </x:c>
      <x:c r="I35" s="36" t="str">
        <x:v>出料流量下降</x:v>
      </x:c>
    </x:row>
    <x:row r="36" ht="26" customHeight="1">
      <x:c r="A36" s="41" t="n">
        <x:v>32</x:v>
      </x:c>
      <x:c r="B36" s="83" t="str">
        <x:v>排出侧堵塞</x:v>
      </x:c>
      <x:c r="C36" s="44" t="str"/>
      <x:c r="D36" s="35" t="str">
        <x:v>FIC10101.OP</x:v>
      </x:c>
      <x:c r="E36" s="54" t="str">
        <x:v>控制回路</x:v>
      </x:c>
      <x:c r="F36" s="44" t="str">
        <x:v>%</x:v>
      </x:c>
      <x:c r="G36" s="44" t="str">
        <x:v>0-100</x:v>
      </x:c>
      <x:c r="H36" s="35" t="str">
        <x:v>出料流量控制阀门</x:v>
      </x:c>
      <x:c r="I36" s="36" t="str">
        <x:v>控制输出变化</x:v>
      </x:c>
    </x:row>
    <x:row r="37" ht="26" customHeight="1">
      <x:c r="A37" s="41" t="n">
        <x:v>33</x:v>
      </x:c>
      <x:c r="B37" s="83" t="str">
        <x:v>排出侧堵塞</x:v>
      </x:c>
      <x:c r="C37" s="44" t="str"/>
      <x:c r="D37" s="35" t="str">
        <x:v>FV10101.OP</x:v>
      </x:c>
      <x:c r="E37" s="57" t="str">
        <x:v>阀门执行</x:v>
      </x:c>
      <x:c r="F37" s="44" t="str">
        <x:v>%</x:v>
      </x:c>
      <x:c r="G37" s="44" t="str">
        <x:v>0-100</x:v>
      </x:c>
      <x:c r="H37" s="35" t="str">
        <x:v>出料流量控制阀门</x:v>
      </x:c>
      <x:c r="I37" s="36" t="str">
        <x:v>判断出口阀门状态</x:v>
      </x:c>
    </x:row>
    <x:row r="38" ht="26" customHeight="1">
      <x:c r="A38" s="42" t="n">
        <x:v>34</x:v>
      </x:c>
      <x:c r="B38" s="85" t="str">
        <x:v>排出侧堵塞</x:v>
      </x:c>
      <x:c r="C38" s="45" t="str"/>
      <x:c r="D38" s="38" t="str">
        <x:v>WIP101A.PV</x:v>
      </x:c>
      <x:c r="E38" s="88" t="str">
        <x:v>泵电气/状态</x:v>
      </x:c>
      <x:c r="F38" s="45" t="str">
        <x:v>KW</x:v>
      </x:c>
      <x:c r="G38" s="45" t="str">
        <x:v>0-200</x:v>
      </x:c>
      <x:c r="H38" s="38" t="str">
        <x:v>P101A功率显示</x:v>
      </x:c>
      <x:c r="I38" s="39" t="str">
        <x:v>负载变化辅助判断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fcec08cc67cb45d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36" hidden="0" customWidth="1"/>
    <x:col min="4" max="4" width="38" hidden="0" customWidth="1"/>
  </x:cols>
  <x:sheetData>
    <x:row r="1">
      <x:c r="A1" s="3" t="str">
        <x:v>点位门类汇总</x:v>
      </x:c>
      <x:c r="B1" s="3"/>
      <x:c r="C1" s="3"/>
      <x:c r="D1" s="3"/>
    </x:row>
    <x:row r="3">
      <x:c r="A3" s="89" t="str">
        <x:v>门类</x:v>
      </x:c>
      <x:c r="B3" s="89" t="str">
        <x:v>点位数量</x:v>
      </x:c>
      <x:c r="C3" s="89" t="str">
        <x:v>代表点位</x:v>
      </x:c>
      <x:c r="D3" s="89" t="str">
        <x:v>用途说明</x:v>
      </x:c>
    </x:row>
    <x:row r="4">
      <x:c r="A4" s="98" t="str">
        <x:v>过程测量</x:v>
      </x:c>
      <x:c r="B4" s="93" t="n">
        <x:f>COUNTIF('点位分类表'!$B$5:$B$42,A4)</x:f>
        <x:v>10</x:v>
      </x:c>
      <x:c r="C4" s="32" t="str">
        <x:v>FI10501J.PV、PI10101.PV、PIP101A1.PV</x:v>
      </x:c>
      <x:c r="D4" s="33" t="str">
        <x:v>描述流量、压力、温度等过程运行状态</x:v>
      </x:c>
    </x:row>
    <x:row r="5">
      <x:c r="A5" s="101" t="str">
        <x:v>控制回路</x:v>
      </x:c>
      <x:c r="B5" s="94" t="n">
        <x:f>COUNTIF('点位分类表'!$B$5:$B$42,A5)</x:f>
        <x:v>5</x:v>
      </x:c>
      <x:c r="C5" s="35" t="str">
        <x:v>FIC10101.OP、FIC10101.SP、LIC10101.PV</x:v>
      </x:c>
      <x:c r="D5" s="36" t="str">
        <x:v>描述控制测量值、输出和设定值</x:v>
      </x:c>
    </x:row>
    <x:row r="6">
      <x:c r="A6" s="104" t="str">
        <x:v>阀门执行</x:v>
      </x:c>
      <x:c r="B6" s="94" t="n">
        <x:f>COUNTIF('点位分类表'!$B$5:$B$42,A6)</x:f>
        <x:v>9</x:v>
      </x:c>
      <x:c r="C6" s="35" t="str">
        <x:v>FV10101.OP、VX1YHQ.OP、VX2D101.OP</x:v>
      </x:c>
      <x:c r="D6" s="36" t="str">
        <x:v>描述阀门开度和执行机构状态</x:v>
      </x:c>
    </x:row>
    <x:row r="7">
      <x:c r="A7" s="107" t="str">
        <x:v>泵电气/状态</x:v>
      </x:c>
      <x:c r="B7" s="94" t="n">
        <x:f>COUNTIF('点位分类表'!$B$5:$B$42,A7)</x:f>
        <x:v>6</x:v>
      </x:c>
      <x:c r="C7" s="35" t="str">
        <x:v>WIP101A.PV、EIP101A.PV、PSWP101A.OP</x:v>
      </x:c>
      <x:c r="D7" s="36" t="str">
        <x:v>描述泵功率、电流和启停状态</x:v>
      </x:c>
    </x:row>
    <x:row r="8">
      <x:c r="A8" s="110" t="str">
        <x:v>异常指标</x:v>
      </x:c>
      <x:c r="B8" s="94" t="n">
        <x:f>COUNTIF('点位分类表'!$B$5:$B$42,A8)</x:f>
        <x:v>2</x:v>
      </x:c>
      <x:c r="C8" s="35" t="str">
        <x:v>DS.PV、XL.PV</x:v>
      </x:c>
      <x:c r="D8" s="36" t="str">
        <x:v>描述仿真故障或异常程度指标</x:v>
      </x:c>
    </x:row>
    <x:row r="9">
      <x:c r="A9" s="113" t="str">
        <x:v>控制参数</x:v>
      </x:c>
      <x:c r="B9" s="95" t="n">
        <x:f>COUNTIF('点位分类表'!$B$5:$B$42,A9)</x:f>
        <x:v>6</x:v>
      </x:c>
      <x:c r="C9" s="38" t="str">
        <x:v>FIC10101.K、LIC10101.T1</x:v>
      </x:c>
      <x:c r="D9" s="39" t="str">
        <x:v>描述控制器比例、积分、微分参数</x:v>
      </x:c>
    </x:row>
  </x:sheetData>
  <x:mergeCells>
    <x:mergeCell ref="A1:D1"/>
  </x:mergeCells>
  <x:pageMargins left="0.7" right="0.7" top="0.75" bottom="0.75" header="0.3" footer="0.3"/>
</x:worksheet>
</file>